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10\Desktop\Data Practices\Project 1\"/>
    </mc:Choice>
  </mc:AlternateContent>
  <xr:revisionPtr revIDLastSave="0" documentId="13_ncr:1_{8D23904F-75FF-4D26-B4CC-BDDAFE7184B1}" xr6:coauthVersionLast="47" xr6:coauthVersionMax="47" xr10:uidLastSave="{00000000-0000-0000-0000-000000000000}"/>
  <bookViews>
    <workbookView xWindow="11580" yWindow="96" windowWidth="11700" windowHeight="12288" xr2:uid="{3B4C2946-8883-46A8-8D5A-7D5EE5136613}"/>
  </bookViews>
  <sheets>
    <sheet name="Team" sheetId="1" r:id="rId1"/>
    <sheet name="Quarter-Product" sheetId="2" r:id="rId2"/>
    <sheet name="Win Rate" sheetId="4" r:id="rId3"/>
    <sheet name="products (2)" sheetId="6" r:id="rId4"/>
  </sheets>
  <definedNames>
    <definedName name="DışVeri_1" localSheetId="3" hidden="1">'products (2)'!$A$1:$C$8</definedName>
    <definedName name="Dilimleyici_Çeyrek">#N/A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4="http://schemas.microsoft.com/office/spreadsheetml/2009/9/main" uri="{876F7934-8845-4945-9796-88D515C7AA90}">
      <x14:pivotCaches>
        <pivotCache cacheId="5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d9db9670-f535-4a4a-a41f-9170c5ec992b" name="products" connection="Sorgu - products"/>
          <x15:modelTable id="sales_pipeline_48ce6131-8c1f-4bf4-a563-35225092065c" name="sales_pipeline" connection="Sorgu - sales_pipeline"/>
          <x15:modelTable id="sales_teams_3554a631-6ddf-4900-ae12-8b7a3abd0c54" name="sales_teams" connection="Sorgu - sales_teams"/>
          <x15:modelTable id="Calender_a4d77c6b-ed34-4f03-aeba-0bdf58983ca5" name="Calender" connection="Sorgu - Calender"/>
          <x15:modelTable id="accounts  2_ad3ecf43-62c0-40e3-b573-0efa8d956109" name="accounts  2" connection="Sorgu - accounts"/>
        </x15:modelTables>
        <x15:modelRelationships>
          <x15:modelRelationship fromTable="sales_pipeline" fromColumn="product" toTable="products" toColumn="product"/>
          <x15:modelRelationship fromTable="sales_pipeline" fromColumn="account" toTable="accounts  2" toColumn="account"/>
          <x15:modelRelationship fromTable="sales_pipeline" fromColumn="close_date" toTable="Calender" toColumn="Date"/>
          <x15:modelRelationship fromTable="sales_pipeline" fromColumn="sales_agent" toTable="sales_teams" toColumn="sales_ag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7" i="4"/>
  <c r="B18" i="4"/>
  <c r="B19" i="4"/>
  <c r="B20" i="4"/>
  <c r="B21" i="4"/>
  <c r="B1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90DE7-637F-46BB-B7BF-2A2E03C422BD}" name="Sorgu - accounts" description="Çalışma kitabındaki 'accounts' sorgusuna yönelik bağlantı." type="100" refreshedVersion="8" minRefreshableVersion="5">
    <extLst>
      <ext xmlns:x15="http://schemas.microsoft.com/office/spreadsheetml/2010/11/main" uri="{DE250136-89BD-433C-8126-D09CA5730AF9}">
        <x15:connection id="532999f3-637b-4582-9d81-9a51a187cfe1">
          <x15:oledbPr connection="Provider=Microsoft.Mashup.OleDb.1;Data Source=$Workbook$;Location=accounts;Extended Properties=&quot;&quot;">
            <x15:dbTables>
              <x15:dbTable name="accounts"/>
            </x15:dbTables>
          </x15:oledbPr>
        </x15:connection>
      </ext>
    </extLst>
  </connection>
  <connection id="2" xr16:uid="{AD1C037A-05C5-4826-868D-3AC3BE7E4A66}" name="Sorgu - Calender" description="Çalışma kitabındaki 'Calender' sorgusuna yönelik bağlantı." type="100" refreshedVersion="8" minRefreshableVersion="5">
    <extLst>
      <ext xmlns:x15="http://schemas.microsoft.com/office/spreadsheetml/2010/11/main" uri="{DE250136-89BD-433C-8126-D09CA5730AF9}">
        <x15:connection id="1d9e2813-aebc-437f-b6db-960111b56743">
          <x15:oledbPr connection="Provider=Microsoft.Mashup.OleDb.1;Data Source=$Workbook$;Location=Calender;Extended Properties=&quot;&quot;">
            <x15:dbTables>
              <x15:dbTable name="Calender"/>
            </x15:dbTables>
          </x15:oledbPr>
        </x15:connection>
      </ext>
    </extLst>
  </connection>
  <connection id="3" xr16:uid="{E7255AEF-9157-46CE-9FBF-AD08979CACF4}" name="Sorgu - products" description="Çalışma kitabındaki 'products' sorgusuna yönelik bağlantı." type="100" refreshedVersion="8" minRefreshableVersion="5">
    <extLst>
      <ext xmlns:x15="http://schemas.microsoft.com/office/spreadsheetml/2010/11/main" uri="{DE250136-89BD-433C-8126-D09CA5730AF9}">
        <x15:connection id="571e57da-e72a-440d-bf60-eaefb5bace07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4" xr16:uid="{13B7522F-FF49-4168-9215-FE50F0E0E9FF}" keepAlive="1" name="Sorgu - products (2)" description="Çalışma kitabındaki 'products (2)' sorgusuna yönelik bağlantı." type="5" refreshedVersion="8" background="1" saveData="1">
    <dbPr connection="Provider=Microsoft.Mashup.OleDb.1;Data Source=$Workbook$;Location=&quot;products (2)&quot;;Extended Properties=&quot;&quot;" command="SELECT * FROM [products (2)]"/>
  </connection>
  <connection id="5" xr16:uid="{E918124E-B825-4FED-92E1-CB7325214008}" name="Sorgu - sales_pipeline" description="Çalışma kitabındaki 'sales_pipeline' sorgusuna yönelik bağlantı." type="100" refreshedVersion="8" minRefreshableVersion="5">
    <extLst>
      <ext xmlns:x15="http://schemas.microsoft.com/office/spreadsheetml/2010/11/main" uri="{DE250136-89BD-433C-8126-D09CA5730AF9}">
        <x15:connection id="6ea7786c-60e6-4cf2-81d0-f535932ffe25">
          <x15:oledbPr connection="Provider=Microsoft.Mashup.OleDb.1;Data Source=$Workbook$;Location=sales_pipeline;Extended Properties=&quot;&quot;">
            <x15:dbTables>
              <x15:dbTable name="sales_pipeline"/>
            </x15:dbTables>
          </x15:oledbPr>
        </x15:connection>
      </ext>
    </extLst>
  </connection>
  <connection id="6" xr16:uid="{79165EEB-7774-4F1F-8479-FC1B4C0CF101}" name="Sorgu - sales_teams" description="Çalışma kitabındaki 'sales_teams' sorgusuna yönelik bağlantı." type="100" refreshedVersion="8" minRefreshableVersion="5">
    <extLst>
      <ext xmlns:x15="http://schemas.microsoft.com/office/spreadsheetml/2010/11/main" uri="{DE250136-89BD-433C-8126-D09CA5730AF9}">
        <x15:connection id="e9bfcadc-f6b0-449a-8ad5-e075a56a70cb"/>
      </ext>
    </extLst>
  </connection>
  <connection id="7" xr16:uid="{12C11FA3-7649-4C05-8FD2-41E8AAC3DEF4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_pipeline].[deal_stage].&amp;[Wo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<sst xmlns="http://schemas.openxmlformats.org/spreadsheetml/2006/main" count="124" uniqueCount="59">
  <si>
    <t>Satır Etiketleri</t>
  </si>
  <si>
    <t>Cara Losch</t>
  </si>
  <si>
    <t>Celia Rouche</t>
  </si>
  <si>
    <t>Dustin Brinkmann</t>
  </si>
  <si>
    <t>Melvin Marxen</t>
  </si>
  <si>
    <t>Rocco Neubert</t>
  </si>
  <si>
    <t>Summer Sewald</t>
  </si>
  <si>
    <t>Genel Toplam</t>
  </si>
  <si>
    <t>Anna Snelling</t>
  </si>
  <si>
    <t>Boris Faz</t>
  </si>
  <si>
    <t>Cassey Cress</t>
  </si>
  <si>
    <t>Cecily Lampkin</t>
  </si>
  <si>
    <t>Corliss Cosme</t>
  </si>
  <si>
    <t>Daniell Hammack</t>
  </si>
  <si>
    <t>Darcel Schlecht</t>
  </si>
  <si>
    <t>Donn Cantrell</t>
  </si>
  <si>
    <t>Elease Gluck</t>
  </si>
  <si>
    <t>Garret Kinder</t>
  </si>
  <si>
    <t>Gladys Colclough</t>
  </si>
  <si>
    <t>Hayden Neloms</t>
  </si>
  <si>
    <t>James Ascencio</t>
  </si>
  <si>
    <t>Jonathan Berthelot</t>
  </si>
  <si>
    <t>Kami Bicknell</t>
  </si>
  <si>
    <t>Kary Hendrixson</t>
  </si>
  <si>
    <t>Lajuana Vencill</t>
  </si>
  <si>
    <t>Markita Hansen</t>
  </si>
  <si>
    <t>Marty Freudenburg</t>
  </si>
  <si>
    <t>Maureen Marcano</t>
  </si>
  <si>
    <t>Moses Frase</t>
  </si>
  <si>
    <t>Niesha Huffines</t>
  </si>
  <si>
    <t>Reed Clapper</t>
  </si>
  <si>
    <t>Rosalina Dieter</t>
  </si>
  <si>
    <t>Rosie Papadopoulos</t>
  </si>
  <si>
    <t>Versie Hillebrand</t>
  </si>
  <si>
    <t>Vicki Laflamme</t>
  </si>
  <si>
    <t>Violet Mclelland</t>
  </si>
  <si>
    <t>Wilburn Farren</t>
  </si>
  <si>
    <t>Zane Levy</t>
  </si>
  <si>
    <t>Toplam veri: close_value</t>
  </si>
  <si>
    <t>Sütun Etiketleri</t>
  </si>
  <si>
    <t>Çeyrek</t>
  </si>
  <si>
    <t>GTK 500</t>
  </si>
  <si>
    <t>GTX Basic</t>
  </si>
  <si>
    <t>GTX Plus Basic</t>
  </si>
  <si>
    <t>GTX Plus Pro</t>
  </si>
  <si>
    <t>MG Advanced</t>
  </si>
  <si>
    <t>MG Special</t>
  </si>
  <si>
    <t>GTXPro</t>
  </si>
  <si>
    <t>Won</t>
  </si>
  <si>
    <t>Veri Sayısı: deal_stage</t>
  </si>
  <si>
    <t>deal_stage</t>
  </si>
  <si>
    <t>Win Rate correct</t>
  </si>
  <si>
    <t>series</t>
  </si>
  <si>
    <t>GTX</t>
  </si>
  <si>
    <t>GTX Pro</t>
  </si>
  <si>
    <t>MG</t>
  </si>
  <si>
    <t>GTK</t>
  </si>
  <si>
    <t>Product</t>
  </si>
  <si>
    <t>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</si>
</sst>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_-;\-* #,##0_-;_-* &quot;-&quot;??_-;_-@_-"/>
    <numFmt numFmtId="165" formatCode="_-[$$-409]* #,##0_ ;_-[$$-409]* \-#,##0\ ;_-[$$-409]* &quot;-&quot;??_ ;_-@_ "/>
    <numFmt numFmtId="166" formatCode="%0.00;\-%0.00;%0.00"/>
  </numFmts>
  <fonts count="2" x14ac:knownFonts="1">
    <font>
      <sz val="12"/>
      <color theme="1"/>
      <name val="Georgia"/>
      <family val="2"/>
      <charset val="162"/>
    </font>
    <font>
      <sz val="12"/>
      <color theme="1"/>
      <name val="Georgia"/>
      <family val="2"/>
      <charset val="16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theme="2"/>
      </right>
      <top style="medium">
        <color indexed="64"/>
      </top>
      <bottom/>
      <diagonal/>
    </border>
    <border>
      <left style="thin">
        <color theme="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/>
      </right>
      <top/>
      <bottom/>
      <diagonal/>
    </border>
    <border>
      <left style="thin">
        <color theme="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2"/>
      </right>
      <top/>
      <bottom style="medium">
        <color indexed="64"/>
      </bottom>
      <diagonal/>
    </border>
    <border>
      <left style="thin">
        <color theme="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medium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 style="medium">
        <color indexed="64"/>
      </left>
      <right style="thin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thin">
        <color theme="2"/>
      </right>
      <top style="medium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/>
      <top style="medium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/>
      </bottom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 style="thin">
        <color theme="3" tint="0.24994659260841701"/>
      </right>
      <top/>
      <bottom/>
      <diagonal/>
    </border>
    <border>
      <left style="thin">
        <color theme="3" tint="0.2499465926084170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166" fontId="0" fillId="0" borderId="0" xfId="0" applyNumberFormat="1"/>
    <xf numFmtId="0" fontId="0" fillId="0" borderId="1" xfId="0" pivotButton="1" applyBorder="1"/>
    <xf numFmtId="165" fontId="0" fillId="0" borderId="2" xfId="0" applyNumberFormat="1" applyBorder="1"/>
    <xf numFmtId="0" fontId="0" fillId="0" borderId="3" xfId="0" applyBorder="1" applyAlignment="1">
      <alignment horizontal="left"/>
    </xf>
    <xf numFmtId="165" fontId="0" fillId="0" borderId="4" xfId="0" applyNumberFormat="1" applyBorder="1"/>
    <xf numFmtId="0" fontId="0" fillId="0" borderId="3" xfId="0" applyBorder="1" applyAlignment="1">
      <alignment horizontal="left" indent="1"/>
    </xf>
    <xf numFmtId="0" fontId="0" fillId="0" borderId="5" xfId="0" applyBorder="1" applyAlignment="1">
      <alignment horizontal="left"/>
    </xf>
    <xf numFmtId="165" fontId="0" fillId="0" borderId="6" xfId="0" applyNumberFormat="1" applyBorder="1"/>
    <xf numFmtId="0" fontId="0" fillId="0" borderId="7" xfId="0" pivotButton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0" fontId="0" fillId="0" borderId="13" xfId="0" pivotButton="1" applyBorder="1"/>
    <xf numFmtId="0" fontId="0" fillId="0" borderId="14" xfId="0" pivotButton="1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1"/>
    </xf>
    <xf numFmtId="0" fontId="0" fillId="0" borderId="15" xfId="0" applyBorder="1" applyAlignment="1">
      <alignment horizontal="left"/>
    </xf>
    <xf numFmtId="0" fontId="0" fillId="0" borderId="16" xfId="0" pivotButton="1" applyBorder="1"/>
    <xf numFmtId="0" fontId="0" fillId="0" borderId="17" xfId="0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19" xfId="0" applyBorder="1"/>
    <xf numFmtId="0" fontId="0" fillId="0" borderId="20" xfId="0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22" xfId="0" applyBorder="1" applyAlignment="1">
      <alignment horizontal="left"/>
    </xf>
    <xf numFmtId="0" fontId="0" fillId="0" borderId="23" xfId="0" applyBorder="1"/>
  </cellXfs>
  <cellStyles count="3">
    <cellStyle name="Normal" xfId="0" builtinId="0"/>
    <cellStyle name="ParaBirimi" xfId="2" builtinId="4"/>
    <cellStyle name="Virgül" xfId="1" builtinId="3"/>
  </cellStyles>
  <dxfs count="83">
    <dxf>
      <numFmt numFmtId="0" formatCode="General"/>
    </dxf>
    <dxf>
      <numFmt numFmtId="0" formatCode="General"/>
    </dxf>
    <dxf>
      <border diagonalUp="0" diagonalDown="0">
        <left style="thin">
          <color theme="3" tint="0.24994659260841701"/>
        </left>
        <right/>
        <top/>
        <bottom/>
        <vertical style="thin">
          <color theme="3" tint="0.24994659260841701"/>
        </vertical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3" tint="0.24994659260841701"/>
        </right>
        <top/>
        <bottom/>
        <vertical style="thin">
          <color theme="3" tint="0.24994659260841701"/>
        </vertical>
        <horizontal/>
      </border>
    </dxf>
    <dxf>
      <border diagonalUp="0" diagonalDown="0">
        <left/>
        <right/>
        <top/>
        <bottom/>
      </border>
    </dxf>
    <dxf>
      <border diagonalUp="0" diagonalDown="0">
        <left style="thin">
          <color theme="3" tint="0.24994659260841701"/>
        </left>
        <right style="thin">
          <color theme="3" tint="0.24994659260841701"/>
        </right>
        <top/>
        <bottom/>
        <vertical style="thin">
          <color theme="3" tint="0.24994659260841701"/>
        </vertical>
        <horizontal/>
      </border>
    </dxf>
    <dxf>
      <border>
        <left/>
      </border>
    </dxf>
    <dxf>
      <border>
        <left/>
      </border>
    </dxf>
    <dxf>
      <border>
        <left/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right style="medium">
          <color indexed="64"/>
        </right>
        <vertical style="thin">
          <color theme="2"/>
        </vertical>
        <horizontal style="thin">
          <color theme="2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</dxf>
    <dxf>
      <border>
        <horizontal style="medium">
          <color theme="2"/>
        </horizontal>
      </border>
    </dxf>
    <dxf>
      <border>
        <horizontal style="medium">
          <color theme="2"/>
        </horizontal>
      </border>
    </dxf>
    <dxf>
      <border>
        <horizontal style="medium">
          <color theme="2"/>
        </horizontal>
      </border>
    </dxf>
    <dxf>
      <border>
        <horizontal style="medium">
          <color theme="2"/>
        </horizontal>
      </border>
    </dxf>
    <dxf>
      <border>
        <horizontal style="medium">
          <color theme="2"/>
        </horizontal>
      </border>
    </dxf>
    <dxf>
      <border>
        <horizontal style="medium">
          <color theme="2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vertical style="thin">
          <color theme="2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Microsoft Excel.xlsx]Team!PivotTable2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Sales of Each Team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Team!$A$2:$A$38</c:f>
              <c:multiLvlStrCache>
                <c:ptCount val="30"/>
                <c:lvl>
                  <c:pt idx="0">
                    <c:v>Corliss Cosme</c:v>
                  </c:pt>
                  <c:pt idx="1">
                    <c:v>Garret Kinder</c:v>
                  </c:pt>
                  <c:pt idx="2">
                    <c:v>Rosie Papadopoulos</c:v>
                  </c:pt>
                  <c:pt idx="3">
                    <c:v>Violet Mclelland</c:v>
                  </c:pt>
                  <c:pt idx="4">
                    <c:v>Wilburn Farren</c:v>
                  </c:pt>
                  <c:pt idx="5">
                    <c:v>Elease Gluck</c:v>
                  </c:pt>
                  <c:pt idx="6">
                    <c:v>Hayden Neloms</c:v>
                  </c:pt>
                  <c:pt idx="7">
                    <c:v>Markita Hansen</c:v>
                  </c:pt>
                  <c:pt idx="8">
                    <c:v>Rosalina Dieter</c:v>
                  </c:pt>
                  <c:pt idx="9">
                    <c:v>Vicki Laflamme</c:v>
                  </c:pt>
                  <c:pt idx="10">
                    <c:v>Anna Snelling</c:v>
                  </c:pt>
                  <c:pt idx="11">
                    <c:v>Cecily Lampkin</c:v>
                  </c:pt>
                  <c:pt idx="12">
                    <c:v>Lajuana Vencill</c:v>
                  </c:pt>
                  <c:pt idx="13">
                    <c:v>Moses Frase</c:v>
                  </c:pt>
                  <c:pt idx="14">
                    <c:v>Versie Hillebrand</c:v>
                  </c:pt>
                  <c:pt idx="15">
                    <c:v>Darcel Schlecht</c:v>
                  </c:pt>
                  <c:pt idx="16">
                    <c:v>Gladys Colclough</c:v>
                  </c:pt>
                  <c:pt idx="17">
                    <c:v>Jonathan Berthelot</c:v>
                  </c:pt>
                  <c:pt idx="18">
                    <c:v>Marty Freudenburg</c:v>
                  </c:pt>
                  <c:pt idx="19">
                    <c:v>Niesha Huffines</c:v>
                  </c:pt>
                  <c:pt idx="20">
                    <c:v>Boris Faz</c:v>
                  </c:pt>
                  <c:pt idx="21">
                    <c:v>Cassey Cress</c:v>
                  </c:pt>
                  <c:pt idx="22">
                    <c:v>Daniell Hammack</c:v>
                  </c:pt>
                  <c:pt idx="23">
                    <c:v>Donn Cantrell</c:v>
                  </c:pt>
                  <c:pt idx="24">
                    <c:v>Reed Clapper</c:v>
                  </c:pt>
                  <c:pt idx="25">
                    <c:v>James Ascencio</c:v>
                  </c:pt>
                  <c:pt idx="26">
                    <c:v>Kami Bicknell</c:v>
                  </c:pt>
                  <c:pt idx="27">
                    <c:v>Kary Hendrixson</c:v>
                  </c:pt>
                  <c:pt idx="28">
                    <c:v>Maureen Marcano</c:v>
                  </c:pt>
                  <c:pt idx="29">
                    <c:v>Zane Levy</c:v>
                  </c:pt>
                </c:lvl>
                <c:lvl>
                  <c:pt idx="0">
                    <c:v>Cara Losch</c:v>
                  </c:pt>
                  <c:pt idx="5">
                    <c:v>Celia Rouche</c:v>
                  </c:pt>
                  <c:pt idx="10">
                    <c:v>Dustin Brinkmann</c:v>
                  </c:pt>
                  <c:pt idx="15">
                    <c:v>Melvin Marxen</c:v>
                  </c:pt>
                  <c:pt idx="20">
                    <c:v>Rocco Neubert</c:v>
                  </c:pt>
                  <c:pt idx="25">
                    <c:v>Summer Sewald</c:v>
                  </c:pt>
                </c:lvl>
              </c:multiLvlStrCache>
            </c:multiLvlStrRef>
          </c:cat>
          <c:val>
            <c:numRef>
              <c:f>Team!$B$2:$B$38</c:f>
              <c:numCache>
                <c:formatCode>_-[$$-409]* #,##0_ ;_-[$$-409]* \-#,##0\ ;_-[$$-409]* "-"??_ ;_-@_ </c:formatCode>
                <c:ptCount val="30"/>
                <c:pt idx="0">
                  <c:v>421036</c:v>
                </c:pt>
                <c:pt idx="1">
                  <c:v>197773</c:v>
                </c:pt>
                <c:pt idx="2">
                  <c:v>230169</c:v>
                </c:pt>
                <c:pt idx="3">
                  <c:v>123431</c:v>
                </c:pt>
                <c:pt idx="4">
                  <c:v>157640</c:v>
                </c:pt>
                <c:pt idx="5">
                  <c:v>289195</c:v>
                </c:pt>
                <c:pt idx="6">
                  <c:v>272111</c:v>
                </c:pt>
                <c:pt idx="7">
                  <c:v>328792</c:v>
                </c:pt>
                <c:pt idx="8">
                  <c:v>235403</c:v>
                </c:pt>
                <c:pt idx="9">
                  <c:v>478396</c:v>
                </c:pt>
                <c:pt idx="10">
                  <c:v>275056</c:v>
                </c:pt>
                <c:pt idx="11">
                  <c:v>229800</c:v>
                </c:pt>
                <c:pt idx="12">
                  <c:v>194632</c:v>
                </c:pt>
                <c:pt idx="13">
                  <c:v>207182</c:v>
                </c:pt>
                <c:pt idx="14">
                  <c:v>187693</c:v>
                </c:pt>
                <c:pt idx="15">
                  <c:v>1153214</c:v>
                </c:pt>
                <c:pt idx="16">
                  <c:v>345674</c:v>
                </c:pt>
                <c:pt idx="17">
                  <c:v>284886</c:v>
                </c:pt>
                <c:pt idx="18">
                  <c:v>291195</c:v>
                </c:pt>
                <c:pt idx="19">
                  <c:v>176961</c:v>
                </c:pt>
                <c:pt idx="20">
                  <c:v>261631</c:v>
                </c:pt>
                <c:pt idx="21">
                  <c:v>450489</c:v>
                </c:pt>
                <c:pt idx="22">
                  <c:v>364229</c:v>
                </c:pt>
                <c:pt idx="23">
                  <c:v>445860</c:v>
                </c:pt>
                <c:pt idx="24">
                  <c:v>438336</c:v>
                </c:pt>
                <c:pt idx="25">
                  <c:v>413533</c:v>
                </c:pt>
                <c:pt idx="26">
                  <c:v>316456</c:v>
                </c:pt>
                <c:pt idx="27">
                  <c:v>454298</c:v>
                </c:pt>
                <c:pt idx="28">
                  <c:v>350395</c:v>
                </c:pt>
                <c:pt idx="29">
                  <c:v>430068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3-43B0-83EA-F3CEE52CE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585904"/>
        <c:axId val="1776587824"/>
      </c:barChart>
      <c:catAx>
        <c:axId val="177658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6587824"/>
        <c:crosses val="autoZero"/>
        <c:auto val="1"/>
        <c:lblAlgn val="ctr"/>
        <c:lblOffset val="100"/>
        <c:noMultiLvlLbl val="0"/>
      </c:catAx>
      <c:valAx>
        <c:axId val="17765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658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Microsoft Excel.xlsx]Team!PivotTable4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Team!$B$40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Team!$A$41:$A$47</c:f>
              <c:strCache>
                <c:ptCount val="6"/>
                <c:pt idx="0">
                  <c:v>Cara Losch</c:v>
                </c:pt>
                <c:pt idx="1">
                  <c:v>Celia Rouche</c:v>
                </c:pt>
                <c:pt idx="2">
                  <c:v>Dustin Brinkmann</c:v>
                </c:pt>
                <c:pt idx="3">
                  <c:v>Melvin Marxen</c:v>
                </c:pt>
                <c:pt idx="4">
                  <c:v>Rocco Neubert</c:v>
                </c:pt>
                <c:pt idx="5">
                  <c:v>Summer Sewald</c:v>
                </c:pt>
              </c:strCache>
            </c:strRef>
          </c:cat>
          <c:val>
            <c:numRef>
              <c:f>Team!$B$41:$B$47</c:f>
              <c:numCache>
                <c:formatCode>_-[$$-409]* #,##0_ ;_-[$$-409]* \-#,##0\ ;_-[$$-409]* "-"??_ ;_-@_ </c:formatCode>
                <c:ptCount val="6"/>
                <c:pt idx="0">
                  <c:v>1130049</c:v>
                </c:pt>
                <c:pt idx="1">
                  <c:v>1603897</c:v>
                </c:pt>
                <c:pt idx="2">
                  <c:v>1094363</c:v>
                </c:pt>
                <c:pt idx="3">
                  <c:v>2251930</c:v>
                </c:pt>
                <c:pt idx="4">
                  <c:v>1960545</c:v>
                </c:pt>
                <c:pt idx="5">
                  <c:v>1964750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6-43FA-8290-C53948DAA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111248"/>
        <c:axId val="427099248"/>
      </c:barChart>
      <c:catAx>
        <c:axId val="4271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099248"/>
        <c:crosses val="autoZero"/>
        <c:auto val="1"/>
        <c:lblAlgn val="ctr"/>
        <c:lblOffset val="100"/>
        <c:noMultiLvlLbl val="0"/>
      </c:catAx>
      <c:valAx>
        <c:axId val="4270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1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Microsoft Excel.xlsx]Quarter-Product!PivotTable5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'Quarter-Product'!$B$1</c:f>
              <c:strCache>
                <c:ptCount val="1"/>
                <c:pt idx="0">
                  <c:v>Toplam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'Quarter-Product'!$A$2:$A$6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'Quarter-Product'!$B$2:$B$6</c:f>
              <c:numCache>
                <c:formatCode>_-* #,##0_-;\-* #,##0_-;_-* "-"??_-;_-@_-</c:formatCode>
                <c:ptCount val="4"/>
                <c:pt idx="0">
                  <c:v>1134672</c:v>
                </c:pt>
                <c:pt idx="1">
                  <c:v>3086111</c:v>
                </c:pt>
                <c:pt idx="2">
                  <c:v>2982255</c:v>
                </c:pt>
                <c:pt idx="3">
                  <c:v>2802496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E-400E-B2F8-F0394253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71408"/>
        <c:axId val="427060368"/>
      </c:lineChart>
      <c:catAx>
        <c:axId val="42707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060368"/>
        <c:crosses val="autoZero"/>
        <c:auto val="1"/>
        <c:lblAlgn val="ctr"/>
        <c:lblOffset val="100"/>
        <c:noMultiLvlLbl val="0"/>
      </c:catAx>
      <c:valAx>
        <c:axId val="42706036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0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Microsoft Excel.xlsx]Quarter-Product!PivotTable6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'Quarter-Product'!$B$17:$B$18</c:f>
              <c:strCache>
                <c:ptCount val="1"/>
                <c:pt idx="0">
                  <c:v>Won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'Quarter-Product'!$A$19:$A$51</c:f>
              <c:multiLvlStrCache>
                <c:ptCount val="28"/>
                <c:lvl>
                  <c:pt idx="0">
                    <c:v>GTK 500</c:v>
                  </c:pt>
                  <c:pt idx="1">
                    <c:v>GTX Basic</c:v>
                  </c:pt>
                  <c:pt idx="2">
                    <c:v>GTX Plus Basic</c:v>
                  </c:pt>
                  <c:pt idx="3">
                    <c:v>GTX Plus Pro</c:v>
                  </c:pt>
                  <c:pt idx="4">
                    <c:v>GTXPro</c:v>
                  </c:pt>
                  <c:pt idx="5">
                    <c:v>MG Advanced</c:v>
                  </c:pt>
                  <c:pt idx="6">
                    <c:v>MG Special</c:v>
                  </c:pt>
                  <c:pt idx="7">
                    <c:v>GTK 500</c:v>
                  </c:pt>
                  <c:pt idx="8">
                    <c:v>GTX Basic</c:v>
                  </c:pt>
                  <c:pt idx="9">
                    <c:v>GTX Plus Basic</c:v>
                  </c:pt>
                  <c:pt idx="10">
                    <c:v>GTX Plus Pro</c:v>
                  </c:pt>
                  <c:pt idx="11">
                    <c:v>GTXPro</c:v>
                  </c:pt>
                  <c:pt idx="12">
                    <c:v>MG Advanced</c:v>
                  </c:pt>
                  <c:pt idx="13">
                    <c:v>MG Special</c:v>
                  </c:pt>
                  <c:pt idx="14">
                    <c:v>GTK 500</c:v>
                  </c:pt>
                  <c:pt idx="15">
                    <c:v>GTX Basic</c:v>
                  </c:pt>
                  <c:pt idx="16">
                    <c:v>GTX Plus Basic</c:v>
                  </c:pt>
                  <c:pt idx="17">
                    <c:v>GTX Plus Pro</c:v>
                  </c:pt>
                  <c:pt idx="18">
                    <c:v>GTXPro</c:v>
                  </c:pt>
                  <c:pt idx="19">
                    <c:v>MG Advanced</c:v>
                  </c:pt>
                  <c:pt idx="20">
                    <c:v>MG Special</c:v>
                  </c:pt>
                  <c:pt idx="21">
                    <c:v>GTK 500</c:v>
                  </c:pt>
                  <c:pt idx="22">
                    <c:v>GTX Basic</c:v>
                  </c:pt>
                  <c:pt idx="23">
                    <c:v>GTX Plus Basic</c:v>
                  </c:pt>
                  <c:pt idx="24">
                    <c:v>GTX Plus Pro</c:v>
                  </c:pt>
                  <c:pt idx="25">
                    <c:v>GTXPro</c:v>
                  </c:pt>
                  <c:pt idx="26">
                    <c:v>MG Advanced</c:v>
                  </c:pt>
                  <c:pt idx="27">
                    <c:v>MG Special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</c:lvl>
              </c:multiLvlStrCache>
            </c:multiLvlStrRef>
          </c:cat>
          <c:val>
            <c:numRef>
              <c:f>'Quarter-Product'!$B$19:$B$51</c:f>
              <c:numCache>
                <c:formatCode>_-* #,##0_-;\-* #,##0_-;_-* "-"??_-;_-@_-</c:formatCode>
                <c:ptCount val="28"/>
                <c:pt idx="0">
                  <c:v>1</c:v>
                </c:pt>
                <c:pt idx="1">
                  <c:v>126</c:v>
                </c:pt>
                <c:pt idx="2">
                  <c:v>82</c:v>
                </c:pt>
                <c:pt idx="3">
                  <c:v>51</c:v>
                </c:pt>
                <c:pt idx="4">
                  <c:v>80</c:v>
                </c:pt>
                <c:pt idx="5">
                  <c:v>84</c:v>
                </c:pt>
                <c:pt idx="6">
                  <c:v>107</c:v>
                </c:pt>
                <c:pt idx="7">
                  <c:v>7</c:v>
                </c:pt>
                <c:pt idx="8">
                  <c:v>276</c:v>
                </c:pt>
                <c:pt idx="9">
                  <c:v>181</c:v>
                </c:pt>
                <c:pt idx="10">
                  <c:v>142</c:v>
                </c:pt>
                <c:pt idx="11">
                  <c:v>223</c:v>
                </c:pt>
                <c:pt idx="12">
                  <c:v>201</c:v>
                </c:pt>
                <c:pt idx="13">
                  <c:v>224</c:v>
                </c:pt>
                <c:pt idx="14">
                  <c:v>4</c:v>
                </c:pt>
                <c:pt idx="15">
                  <c:v>256</c:v>
                </c:pt>
                <c:pt idx="16">
                  <c:v>212</c:v>
                </c:pt>
                <c:pt idx="17">
                  <c:v>143</c:v>
                </c:pt>
                <c:pt idx="18">
                  <c:v>226</c:v>
                </c:pt>
                <c:pt idx="19">
                  <c:v>186</c:v>
                </c:pt>
                <c:pt idx="20">
                  <c:v>230</c:v>
                </c:pt>
                <c:pt idx="21">
                  <c:v>3</c:v>
                </c:pt>
                <c:pt idx="22">
                  <c:v>257</c:v>
                </c:pt>
                <c:pt idx="23">
                  <c:v>178</c:v>
                </c:pt>
                <c:pt idx="24">
                  <c:v>143</c:v>
                </c:pt>
                <c:pt idx="25">
                  <c:v>200</c:v>
                </c:pt>
                <c:pt idx="26">
                  <c:v>183</c:v>
                </c:pt>
                <c:pt idx="27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02F-A002-A17EC7B56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27104048"/>
        <c:axId val="427114128"/>
      </c:barChart>
      <c:catAx>
        <c:axId val="42710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114128"/>
        <c:crosses val="autoZero"/>
        <c:auto val="1"/>
        <c:lblAlgn val="ctr"/>
        <c:lblOffset val="100"/>
        <c:noMultiLvlLbl val="0"/>
      </c:catAx>
      <c:valAx>
        <c:axId val="42711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710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 Microsoft Excel.xlsx]Win Rate!PivotTable1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'Win Rate'!$B$3</c:f>
              <c:strCache>
                <c:ptCount val="1"/>
                <c:pt idx="0">
                  <c:v>Veri Sayısı: deal_stage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F0-4C5D-B0BD-7B9292C46F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EF0-4C5D-B0BD-7B9292C46F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F0-4C5D-B0BD-7B9292C46F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EF0-4C5D-B0BD-7B9292C46F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F0-4C5D-B0BD-7B9292C46F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EF0-4C5D-B0BD-7B9292C46F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F0-4C5D-B0BD-7B9292C46F2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EF0-4C5D-B0BD-7B9292C46F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EF0-4C5D-B0BD-7B9292C46F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EF0-4C5D-B0BD-7B9292C46F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EF0-4C5D-B0BD-7B9292C46F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EF0-4C5D-B0BD-7B9292C46F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EF0-4C5D-B0BD-7B9292C46F2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EF0-4C5D-B0BD-7B9292C46F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'Win Rate'!$A$4:$A$11</c:f>
              <c:strCache>
                <c:ptCount val="7"/>
                <c:pt idx="0">
                  <c:v>MG Special</c:v>
                </c:pt>
                <c:pt idx="1">
                  <c:v>GTX Plus Pro</c:v>
                </c:pt>
                <c:pt idx="2">
                  <c:v>GTX Basic</c:v>
                </c:pt>
                <c:pt idx="3">
                  <c:v>GTX Pro</c:v>
                </c:pt>
                <c:pt idx="4">
                  <c:v>GTX Plus Basic</c:v>
                </c:pt>
                <c:pt idx="5">
                  <c:v>MG Advanced</c:v>
                </c:pt>
                <c:pt idx="6">
                  <c:v>GTK 500</c:v>
                </c:pt>
              </c:strCache>
            </c:strRef>
          </c:cat>
          <c:val>
            <c:numRef>
              <c:f>'Win Rate'!$B$4:$B$11</c:f>
              <c:numCache>
                <c:formatCode>General</c:formatCode>
                <c:ptCount val="7"/>
                <c:pt idx="0">
                  <c:v>793</c:v>
                </c:pt>
                <c:pt idx="1">
                  <c:v>479</c:v>
                </c:pt>
                <c:pt idx="2">
                  <c:v>915</c:v>
                </c:pt>
                <c:pt idx="3">
                  <c:v>729</c:v>
                </c:pt>
                <c:pt idx="4">
                  <c:v>653</c:v>
                </c:pt>
                <c:pt idx="5">
                  <c:v>654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0-4C5D-B0BD-7B9292C46F2E}"/>
            </c:ext>
          </c:extLst>
        </c:ser>
        <c:ser>
          <c:idx val="1"/>
          <c:order val="1"/>
          <c:tx>
            <c:strRef>
              <c:f>'Win Rate'!$C$3</c:f>
              <c:strCache>
                <c:ptCount val="1"/>
                <c:pt idx="0">
                  <c:v>Win Rate correct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EF0-4C5D-B0BD-7B9292C46F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F0-4C5D-B0BD-7B9292C46F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EF0-4C5D-B0BD-7B9292C46F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F0-4C5D-B0BD-7B9292C46F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EF0-4C5D-B0BD-7B9292C46F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F0-4C5D-B0BD-7B9292C46F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EF0-4C5D-B0BD-7B9292C46F2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EF0-4C5D-B0BD-7B9292C46F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EF0-4C5D-B0BD-7B9292C46F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EF0-4C5D-B0BD-7B9292C46F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EF0-4C5D-B0BD-7B9292C46F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1EF0-4C5D-B0BD-7B9292C46F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1EF0-4C5D-B0BD-7B9292C46F2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1EF0-4C5D-B0BD-7B9292C46F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'Win Rate'!$A$4:$A$11</c:f>
              <c:strCache>
                <c:ptCount val="7"/>
                <c:pt idx="0">
                  <c:v>MG Special</c:v>
                </c:pt>
                <c:pt idx="1">
                  <c:v>GTX Plus Pro</c:v>
                </c:pt>
                <c:pt idx="2">
                  <c:v>GTX Basic</c:v>
                </c:pt>
                <c:pt idx="3">
                  <c:v>GTX Pro</c:v>
                </c:pt>
                <c:pt idx="4">
                  <c:v>GTX Plus Basic</c:v>
                </c:pt>
                <c:pt idx="5">
                  <c:v>MG Advanced</c:v>
                </c:pt>
                <c:pt idx="6">
                  <c:v>GTK 500</c:v>
                </c:pt>
              </c:strCache>
            </c:strRef>
          </c:cat>
          <c:val>
            <c:numRef>
              <c:f>'Win Rate'!$C$4:$C$11</c:f>
              <c:numCache>
                <c:formatCode>%0.00;\-%0.00;%0.00</c:formatCode>
                <c:ptCount val="7"/>
                <c:pt idx="0">
                  <c:v>0.64840556009811934</c:v>
                </c:pt>
                <c:pt idx="1">
                  <c:v>0.64295302013422817</c:v>
                </c:pt>
                <c:pt idx="2">
                  <c:v>0.63718662952646243</c:v>
                </c:pt>
                <c:pt idx="3">
                  <c:v>0.63557105492589361</c:v>
                </c:pt>
                <c:pt idx="4">
                  <c:v>0.62131303520456704</c:v>
                </c:pt>
                <c:pt idx="5">
                  <c:v>0.60332103321033215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0-4C5D-B0BD-7B9292C46F2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255270</xdr:colOff>
      <xdr:row>0</xdr:row>
      <xdr:rowOff>19050</xdr:rowOff>
    </xdr:from>
    <xdr:to>
      <xdr:col>10</xdr:col>
      <xdr:colOff>30480</xdr:colOff>
      <xdr:row>18</xdr:row>
      <xdr:rowOff>22860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B40F923-30ED-5EA2-B4B0-754E738A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255270</xdr:colOff>
      <xdr:row>18</xdr:row>
      <xdr:rowOff>64770</xdr:rowOff>
    </xdr:from>
    <xdr:to>
      <xdr:col>10</xdr:col>
      <xdr:colOff>15240</xdr:colOff>
      <xdr:row>36</xdr:row>
      <xdr:rowOff>53340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711CA7D1-2A24-7ACE-D30F-4AD1671B1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251037</xdr:colOff>
      <xdr:row>0</xdr:row>
      <xdr:rowOff>15664</xdr:rowOff>
    </xdr:from>
    <xdr:to>
      <xdr:col>7</xdr:col>
      <xdr:colOff>887307</xdr:colOff>
      <xdr:row>13</xdr:row>
      <xdr:rowOff>179918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C4B4CCA-88F8-75D8-56C6-24ED53499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259080</xdr:colOff>
      <xdr:row>15</xdr:row>
      <xdr:rowOff>179070</xdr:rowOff>
    </xdr:from>
    <xdr:to>
      <xdr:col>7</xdr:col>
      <xdr:colOff>1577340</xdr:colOff>
      <xdr:row>45</xdr:row>
      <xdr:rowOff>190500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6D3ED8E-0110-A062-F1C2-8523383FC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1600200</xdr:colOff>
      <xdr:row>16</xdr:row>
      <xdr:rowOff>7620</xdr:rowOff>
    </xdr:from>
    <xdr:to>
      <xdr:col>9</xdr:col>
      <xdr:colOff>45721</xdr:colOff>
      <xdr:row>24</xdr:row>
      <xdr:rowOff>7619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Çeyrek">
              <a:extLst>
                <a:ext uri="{FF2B5EF4-FFF2-40B4-BE49-F238E27FC236}">
                  <a16:creationId xmlns:a16="http://schemas.microsoft.com/office/drawing/2014/main" id="{C39BC0A6-66FF-3660-3E74-835227B851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Çeyre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04867" y="3385820"/>
              <a:ext cx="1832187" cy="15578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</xdr:colOff>
      <xdr:row>0</xdr:row>
      <xdr:rowOff>0</xdr:rowOff>
    </xdr:from>
    <xdr:to>
      <xdr:col>17</xdr:col>
      <xdr:colOff>266700</xdr:colOff>
      <xdr:row>21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8F4CE28-E205-51E1-7F1C-DEF5843A1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8.546017476852" backgroundQuery="1" createdVersion="8" refreshedVersion="8" minRefreshableVersion="3" recordCount="0" supportSubquery="1" supportAdvancedDrill="1" xr:uid="{131E61B0-A1DF-4BDC-9ECD-89CE3EC66FCE}">
  <cacheSource type="external" connectionId="7"/>
  <cacheFields count="3">
    <cacheField name="[sales_teams].[manager].[manager]" caption="manager" numFmtId="0" hierarchy="22" level="1">
      <sharedItems count="6">
        <s v="Cara Losch"/>
        <s v="Celia Rouche"/>
        <s v="Dustin Brinkmann"/>
        <s v="Melvin Marxen"/>
        <s v="Rocco Neubert"/>
        <s v="Summer Sewald"/>
      </sharedItems>
    </cacheField>
    <cacheField name="[sales_pipeline].[sales_agent].[sales_agent]" caption="sales_agent" numFmtId="0" hierarchy="14" level="1">
      <sharedItems count="30">
        <s v="Corliss Cosme"/>
        <s v="Garret Kinder"/>
        <s v="Rosie Papadopoulos"/>
        <s v="Violet Mclelland"/>
        <s v="Wilburn Farren"/>
        <s v="Elease Gluck"/>
        <s v="Hayden Neloms"/>
        <s v="Markita Hansen"/>
        <s v="Rosalina Dieter"/>
        <s v="Vicki Laflamme"/>
        <s v="Anna Snelling"/>
        <s v="Cecily Lampkin"/>
        <s v="Lajuana Vencill"/>
        <s v="Moses Frase"/>
        <s v="Versie Hillebrand"/>
        <s v="Darcel Schlecht"/>
        <s v="Gladys Colclough"/>
        <s v="Jonathan Berthelot"/>
        <s v="Marty Freudenburg"/>
        <s v="Niesha Huffines"/>
        <s v="Boris Faz"/>
        <s v="Cassey Cress"/>
        <s v="Daniell Hammack"/>
        <s v="Donn Cantrell"/>
        <s v="Reed Clapper"/>
        <s v="James Ascencio"/>
        <s v="Kami Bicknell"/>
        <s v="Kary Hendrixson"/>
        <s v="Maureen Marcano"/>
        <s v="Zane Levy"/>
      </sharedItems>
    </cacheField>
    <cacheField name="[Measures].[Toplam veri: close_value]" caption="Toplam veri: close_value" numFmtId="0" hierarchy="24" level="32767"/>
  </cacheFields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0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0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0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0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0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0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0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0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0" memberValueDatatype="20" unbalanced="0"/>
    <cacheHierarchy uniqueName="[Calender].[Ay Başı]" caption="Ay Başı" attribute="1" time="1" defaultMemberUniqueName="[Calender].[Ay Başı].[All]" allUniqueName="[Calender].[Ay Başı].[All]" dimensionUniqueName="[Calender]" displayFolder="" count="0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0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>
      <fieldsUsage count="2">
        <fieldUsage x="-1"/>
        <fieldUsage x="0"/>
      </fieldsUsage>
    </cacheHierarchy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Toplam veri: close_value]" caption="Toplam veri: close_value" measure="1" displayFolder="" measureGroup="sales_pipelin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/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dimensions count="6">
    <dimension name="accounts  2" uniqueName="[accounts  2]" caption="accounts  2"/>
    <dimension name="Calender" uniqueName="[Calender]" caption="Calender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5">
    <measureGroup name="accounts  2" caption="accounts  2"/>
    <measureGroup name="Calender" caption="Calender"/>
    <measureGroup name="products" caption="products"/>
    <measureGroup name="sales_pipeline" caption="sales_pipeline"/>
    <measureGroup name="sales_teams" caption="sales_team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8.584864236109" backgroundQuery="1" createdVersion="8" refreshedVersion="8" minRefreshableVersion="3" recordCount="0" supportSubquery="1" supportAdvancedDrill="1" xr:uid="{A07649CE-21E7-4797-A8BA-80D9807A9BE8}">
  <cacheSource type="external" connectionId="7"/>
  <cacheFields count="4">
    <cacheField name="[sales_pipeline].[product].[product]" caption="product" numFmtId="0" hierarchy="15" level="1">
      <sharedItems count="7">
        <s v="GTK 500"/>
        <s v="GTX Basic"/>
        <s v="GTX Plus Basic"/>
        <s v="GTX Plus Pro"/>
        <s v="GTXPro"/>
        <s v="MG Advanced"/>
        <s v="MG Special"/>
      </sharedItems>
    </cacheField>
    <cacheField name="[sales_pipeline].[deal_stage].[deal_stage]" caption="deal_stage" numFmtId="0" hierarchy="17" level="1">
      <sharedItems count="2">
        <s v="Lost"/>
        <s v="Won"/>
      </sharedItems>
    </cacheField>
    <cacheField name="[Measures].[Veri Sayısı: deal_stage]" caption="Veri Sayısı: deal_stage" numFmtId="0" hierarchy="28" level="32767"/>
    <cacheField name="[Measures].[Win Rate correct]" caption="Win Rate correct" numFmtId="0" hierarchy="32" level="32767"/>
  </cacheFields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2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2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2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2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2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2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2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2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2" memberValueDatatype="20" unbalanced="0"/>
    <cacheHierarchy uniqueName="[Calender].[Ay Başı]" caption="Ay Başı" attribute="1" time="1" defaultMemberUniqueName="[Calender].[Ay Başı].[All]" allUniqueName="[Calender].[Ay Başı].[All]" dimensionUniqueName="[Calender]" displayFolder="" count="2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2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2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2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2" memberValueDatatype="130" unbalanced="0">
      <fieldsUsage count="2">
        <fieldUsage x="-1"/>
        <fieldUsage x="0"/>
      </fieldsUsage>
    </cacheHierarchy>
    <cacheHierarchy uniqueName="[sales_pipeline].[account]" caption="account" attribute="1" defaultMemberUniqueName="[sales_pipeline].[account].[All]" allUniqueName="[sales_pipeline].[account].[All]" dimensionUniqueName="[sales_pipeline]" displayFolder="" count="2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2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2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2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/>
    <cacheHierarchy uniqueName="[Measures].[Toplam veri: close_value]" caption="Toplam veri: close_value" measure="1" displayFolder="" measureGroup="sales_pipeline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 oneField="1">
      <fieldsUsage count="1">
        <fieldUsage x="3"/>
      </fieldsUsage>
    </cacheHierarchy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dimensions count="6">
    <dimension name="accounts  2" uniqueName="[accounts  2]" caption="accounts  2"/>
    <dimension name="Calender" uniqueName="[Calender]" caption="Calender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5">
    <measureGroup name="accounts  2" caption="accounts  2"/>
    <measureGroup name="Calender" caption="Calender"/>
    <measureGroup name="products" caption="products"/>
    <measureGroup name="sales_pipeline" caption="sales_pipeline"/>
    <measureGroup name="sales_teams" caption="sales_team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8.587428125" backgroundQuery="1" createdVersion="8" refreshedVersion="8" minRefreshableVersion="3" recordCount="0" supportSubquery="1" supportAdvancedDrill="1" xr:uid="{1B0473DF-D8D6-4268-8B07-F92DD95FBC8F}">
  <cacheSource type="external" connectionId="7"/>
  <cacheFields count="2">
    <cacheField name="[sales_teams].[manager].[manager]" caption="manager" numFmtId="0" hierarchy="22" level="1">
      <sharedItems count="6">
        <s v="Cara Losch"/>
        <s v="Celia Rouche"/>
        <s v="Dustin Brinkmann"/>
        <s v="Melvin Marxen"/>
        <s v="Rocco Neubert"/>
        <s v="Summer Sewald"/>
      </sharedItems>
    </cacheField>
    <cacheField name="[Measures].[Toplam veri: close_value]" caption="Toplam veri: close_value" numFmtId="0" hierarchy="24" level="32767"/>
  </cacheFields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2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2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2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2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2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2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2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2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2" memberValueDatatype="20" unbalanced="0"/>
    <cacheHierarchy uniqueName="[Calender].[Ay Başı]" caption="Ay Başı" attribute="1" time="1" defaultMemberUniqueName="[Calender].[Ay Başı].[All]" allUniqueName="[Calender].[Ay Başı].[All]" dimensionUniqueName="[Calender]" displayFolder="" count="2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2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2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2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2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2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2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2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2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>
      <fieldsUsage count="2">
        <fieldUsage x="-1"/>
        <fieldUsage x="0"/>
      </fieldsUsage>
    </cacheHierarchy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/>
    <cacheHierarchy uniqueName="[Measures].[Toplam veri: close_value]" caption="Toplam veri: close_value" measure="1" displayFolder="" measureGroup="sales_pipelin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/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dimensions count="6">
    <dimension name="accounts  2" uniqueName="[accounts  2]" caption="accounts  2"/>
    <dimension name="Calender" uniqueName="[Calender]" caption="Calender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5">
    <measureGroup name="accounts  2" caption="accounts  2"/>
    <measureGroup name="Calender" caption="Calender"/>
    <measureGroup name="products" caption="products"/>
    <measureGroup name="sales_pipeline" caption="sales_pipeline"/>
    <measureGroup name="sales_teams" caption="sales_team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9.957470601854" backgroundQuery="1" createdVersion="8" refreshedVersion="8" minRefreshableVersion="3" recordCount="0" supportSubquery="1" supportAdvancedDrill="1" xr:uid="{78169BD5-56F0-40DF-B808-69143D91E055}">
  <cacheSource type="external" connectionId="7"/>
  <cacheFields count="2">
    <cacheField name="[Calender].[Çeyrek].[Çeyrek]" caption="Çeyrek" numFmtId="0" hierarchy="8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Calender].[Çeyrek].&amp;[1]"/>
            <x15:cachedUniqueName index="1" name="[Calender].[Çeyrek].&amp;[2]"/>
            <x15:cachedUniqueName index="2" name="[Calender].[Çeyrek].&amp;[3]"/>
            <x15:cachedUniqueName index="3" name="[Calender].[Çeyrek].&amp;[4]"/>
          </x15:cachedUniqueNames>
        </ext>
      </extLst>
    </cacheField>
    <cacheField name="[Measures].[Toplam veri: close_value]" caption="Toplam veri: close_value" numFmtId="0" hierarchy="24" level="32767"/>
  </cacheFields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2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2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2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2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2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2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2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2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2" memberValueDatatype="20" unbalanced="0">
      <fieldsUsage count="2">
        <fieldUsage x="-1"/>
        <fieldUsage x="0"/>
      </fieldsUsage>
    </cacheHierarchy>
    <cacheHierarchy uniqueName="[Calender].[Ay Başı]" caption="Ay Başı" attribute="1" time="1" defaultMemberUniqueName="[Calender].[Ay Başı].[All]" allUniqueName="[Calender].[Ay Başı].[All]" dimensionUniqueName="[Calender]" displayFolder="" count="2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2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2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2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2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2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2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2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2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/>
    <cacheHierarchy uniqueName="[Measures].[Toplam veri: close_value]" caption="Toplam veri: close_value" measure="1" displayFolder="" measureGroup="sales_pipelin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/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dimensions count="6">
    <dimension name="accounts  2" uniqueName="[accounts  2]" caption="accounts  2"/>
    <dimension name="Calender" uniqueName="[Calender]" caption="Calender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5">
    <measureGroup name="accounts  2" caption="accounts  2"/>
    <measureGroup name="Calender" caption="Calender"/>
    <measureGroup name="products" caption="products"/>
    <measureGroup name="sales_pipeline" caption="sales_pipeline"/>
    <measureGroup name="sales_teams" caption="sales_team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9.957880555557" backgroundQuery="1" createdVersion="8" refreshedVersion="8" minRefreshableVersion="3" recordCount="0" supportSubquery="1" supportAdvancedDrill="1" xr:uid="{516F003C-9AF5-43A6-BD95-0E1CF51A1E06}">
  <cacheSource type="external" connectionId="7"/>
  <cacheFields count="4">
    <cacheField name="[Calender].[Çeyrek].[Çeyrek]" caption="Çeyrek" numFmtId="0" hierarchy="8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Calender].[Çeyrek].&amp;[1]"/>
            <x15:cachedUniqueName index="1" name="[Calender].[Çeyrek].&amp;[2]"/>
            <x15:cachedUniqueName index="2" name="[Calender].[Çeyrek].&amp;[3]"/>
            <x15:cachedUniqueName index="3" name="[Calender].[Çeyrek].&amp;[4]"/>
          </x15:cachedUniqueNames>
        </ext>
      </extLst>
    </cacheField>
    <cacheField name="[sales_pipeline].[product].[product]" caption="product" numFmtId="0" hierarchy="15" level="1">
      <sharedItems count="7">
        <s v="GTK 500"/>
        <s v="GTX Basic"/>
        <s v="GTX Plus Basic"/>
        <s v="GTX Plus Pro"/>
        <s v="GTXPro"/>
        <s v="MG Advanced"/>
        <s v="MG Special"/>
      </sharedItems>
    </cacheField>
    <cacheField name="[sales_pipeline].[deal_stage].[deal_stage]" caption="deal_stage" numFmtId="0" hierarchy="17" level="1">
      <sharedItems count="4">
        <s v="Won"/>
        <s v="Engaging" u="1"/>
        <s v="Lost" u="1"/>
        <s v="Prospecting" u="1"/>
      </sharedItems>
    </cacheField>
    <cacheField name="[Measures].[Veri Sayısı: deal_stage]" caption="Veri Sayısı: deal_stage" numFmtId="0" hierarchy="28" level="32767"/>
  </cacheFields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2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2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2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2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2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2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2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2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2" memberValueDatatype="20" unbalanced="0">
      <fieldsUsage count="2">
        <fieldUsage x="-1"/>
        <fieldUsage x="0"/>
      </fieldsUsage>
    </cacheHierarchy>
    <cacheHierarchy uniqueName="[Calender].[Ay Başı]" caption="Ay Başı" attribute="1" time="1" defaultMemberUniqueName="[Calender].[Ay Başı].[All]" allUniqueName="[Calender].[Ay Başı].[All]" dimensionUniqueName="[Calender]" displayFolder="" count="2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2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2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2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2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account]" caption="account" attribute="1" defaultMemberUniqueName="[sales_pipeline].[account].[All]" allUniqueName="[sales_pipeline].[account].[All]" dimensionUniqueName="[sales_pipeline]" displayFolder="" count="2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2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2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2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2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2" memberValueDatatype="130" unbalanced="0"/>
    <cacheHierarchy uniqueName="[Measures].[Toplam veri: close_value]" caption="Toplam veri: close_value" measure="1" displayFolder="" measureGroup="sales_pipeline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/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dimensions count="6">
    <dimension name="accounts  2" uniqueName="[accounts  2]" caption="accounts  2"/>
    <dimension name="Calender" uniqueName="[Calender]" caption="Calender"/>
    <dimension measure="1" name="Measures" uniqueName="[Measures]" caption="Measures"/>
    <dimension name="products" uniqueName="[products]" caption="products"/>
    <dimension name="sales_pipeline" uniqueName="[sales_pipeline]" caption="sales_pipeline"/>
    <dimension name="sales_teams" uniqueName="[sales_teams]" caption="sales_teams"/>
  </dimensions>
  <measureGroups count="5">
    <measureGroup name="accounts  2" caption="accounts  2"/>
    <measureGroup name="Calender" caption="Calender"/>
    <measureGroup name="products" caption="products"/>
    <measureGroup name="sales_pipeline" caption="sales_pipeline"/>
    <measureGroup name="sales_teams" caption="sales_team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10" refreshedDate="46059.957610879632" backgroundQuery="1" createdVersion="3" refreshedVersion="8" minRefreshableVersion="3" recordCount="0" supportSubquery="1" supportAdvancedDrill="1" xr:uid="{13B87C2D-61EF-4A2E-A711-0E2C5E59A935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accounts  2].[account]" caption="account" attribute="1" defaultMemberUniqueName="[accounts  2].[account].[All]" allUniqueName="[accounts  2].[account].[All]" dimensionUniqueName="[accounts  2]" displayFolder="" count="0" memberValueDatatype="130" unbalanced="0"/>
    <cacheHierarchy uniqueName="[accounts  2].[sector]" caption="sector" attribute="1" defaultMemberUniqueName="[accounts  2].[sector].[All]" allUniqueName="[accounts  2].[sector].[All]" dimensionUniqueName="[accounts  2]" displayFolder="" count="0" memberValueDatatype="130" unbalanced="0"/>
    <cacheHierarchy uniqueName="[accounts  2].[year_established]" caption="year_established" attribute="1" defaultMemberUniqueName="[accounts  2].[year_established].[All]" allUniqueName="[accounts  2].[year_established].[All]" dimensionUniqueName="[accounts  2]" displayFolder="" count="0" memberValueDatatype="20" unbalanced="0"/>
    <cacheHierarchy uniqueName="[accounts  2].[revenue]" caption="revenue" attribute="1" defaultMemberUniqueName="[accounts  2].[revenue].[All]" allUniqueName="[accounts  2].[revenue].[All]" dimensionUniqueName="[accounts  2]" displayFolder="" count="0" memberValueDatatype="20" unbalanced="0"/>
    <cacheHierarchy uniqueName="[accounts  2].[employees]" caption="employees" attribute="1" defaultMemberUniqueName="[accounts  2].[employees].[All]" allUniqueName="[accounts  2].[employees].[All]" dimensionUniqueName="[accounts  2]" displayFolder="" count="0" memberValueDatatype="20" unbalanced="0"/>
    <cacheHierarchy uniqueName="[accounts  2].[office_location]" caption="office_location" attribute="1" defaultMemberUniqueName="[accounts  2].[office_location].[All]" allUniqueName="[accounts  2].[office_location].[All]" dimensionUniqueName="[accounts  2]" displayFolder="" count="0" memberValueDatatype="130" unbalanced="0"/>
    <cacheHierarchy uniqueName="[accounts  2].[subsidiary_of]" caption="subsidiary_of" attribute="1" defaultMemberUniqueName="[accounts  2].[subsidiary_of].[All]" allUniqueName="[accounts  2].[subsidiary_of].[All]" dimensionUniqueName="[accounts  2]" displayFolder="" count="0" memberValueDatatype="130" unbalanced="0"/>
    <cacheHierarchy uniqueName="[Calender].[Date]" caption="Date" attribute="1" time="1" defaultMemberUniqueName="[Calender].[Date].[All]" allUniqueName="[Calender].[Date].[All]" dimensionUniqueName="[Calender]" displayFolder="" count="0" memberValueDatatype="7" unbalanced="0"/>
    <cacheHierarchy uniqueName="[Calender].[Çeyrek]" caption="Çeyrek" attribute="1" defaultMemberUniqueName="[Calender].[Çeyrek].[All]" allUniqueName="[Calender].[Çeyrek].[All]" dimensionUniqueName="[Calender]" displayFolder="" count="2" memberValueDatatype="20" unbalanced="0"/>
    <cacheHierarchy uniqueName="[Calender].[Ay Başı]" caption="Ay Başı" attribute="1" time="1" defaultMemberUniqueName="[Calender].[Ay Başı].[All]" allUniqueName="[Calender].[Ay Başı].[All]" dimensionUniqueName="[Calender]" displayFolder="" count="0" memberValueDatatype="7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0" memberValueDatatype="130" unbalanced="0"/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Toplam veri: close_value]" caption="Toplam veri: close_value" measure="1" displayFolder="" measureGroup="sales_pipeline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plam veri: Çeyrek]" caption="Toplam veri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Veri Sayısı: Çeyrek]" caption="Veri Sayısı: Çeyrek" measure="1" displayFolder="" measureGroup="Calender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plam veri: sales_price]" caption="Toplam veri: sales_price" measure="1" displayFolder="" measureGroup="produc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Veri Sayısı: deal_stage]" caption="Veri Sayısı: deal_stage" measure="1" displayFolder="" measureGroup="sales_pipelin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Sayısı: opportunity_id]" caption="Veri Sayısı: opportunity_id" measure="1" displayFolder="" measureGroup="sales_pipelin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Won+Lost]" caption="Won+Lost" measure="1" displayFolder="" measureGroup="sales_pipeline" count="0"/>
    <cacheHierarchy uniqueName="[Measures].[Win Rate]" caption="Win Rate" measure="1" displayFolder="" measureGroup="sales_pipeline" count="0"/>
    <cacheHierarchy uniqueName="[Measures].[Win Rate correct]" caption="Win Rate correct" measure="1" displayFolder="" measureGroup="sales_pipeline" count="0"/>
    <cacheHierarchy uniqueName="[Measures].[__XL_Count products]" caption="__XL_Count products" measure="1" displayFolder="" measureGroup="products" count="0" hidden="1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Calender]" caption="__XL_Count Calender" measure="1" displayFolder="" measureGroup="Calender" count="0" hidden="1"/>
    <cacheHierarchy uniqueName="[Measures].[__XL_Count accounts  2]" caption="__XL_Count accounts  2" measure="1" displayFolder="" measureGroup="accounts  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3087716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E7480-741D-4F07-B209-C724F51782E8}" name="PivotTable4" cacheId="2" applyNumberFormats="0" applyBorderFormats="0" applyFontFormats="0" applyPatternFormats="0" applyAlignmentFormats="0" applyWidthHeightFormats="1" dataCaption="Değerler" tag="ad8a4162-8f53-4008-acce-7c64fa34b19b" updatedVersion="8" minRefreshableVersion="3" useAutoFormatting="1" itemPrintTitles="1" createdVersion="8" indent="0" outline="1" outlineData="1" multipleFieldFilters="0" chartFormat="1">
  <location ref="A40:B47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plam veri: close_value" fld="1" baseField="0" baseItem="0" numFmtId="165"/>
  </dataFields>
  <formats count="8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eam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8F3E-360E-4A50-AB1E-43E8CAED4EEA}" name="PivotTable2" cacheId="0" applyNumberFormats="0" applyBorderFormats="0" applyFontFormats="0" applyPatternFormats="0" applyAlignmentFormats="0" applyWidthHeightFormats="1" dataCaption="Değerler" tag="25b1aab9-213d-4d07-a3ac-3664d591ef4f" updatedVersion="8" minRefreshableVersion="3" useAutoFormatting="1" itemPrintTitles="1" createdVersion="8" indent="0" outline="1" outlineData="1" multipleFieldFilters="0" chartFormat="3">
  <location ref="A1:B38" firstHeaderRow="1" firstDataRow="1" firstDataCol="1"/>
  <pivotFields count="3">
    <pivotField axis="axisRow" allDrilled="1" subtotalTop="0" showAll="0" dataSourceSort="1" defaultSubtotal="0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r="1">
      <x v="24"/>
    </i>
    <i>
      <x v="5"/>
    </i>
    <i r="1">
      <x v="25"/>
    </i>
    <i r="1">
      <x v="26"/>
    </i>
    <i r="1">
      <x v="27"/>
    </i>
    <i r="1">
      <x v="28"/>
    </i>
    <i r="1">
      <x v="29"/>
    </i>
    <i t="grand">
      <x/>
    </i>
  </rowItems>
  <colItems count="1">
    <i/>
  </colItems>
  <dataFields count="1">
    <dataField name="Toplam veri: close_value" fld="2" baseField="0" baseItem="0" numFmtId="165"/>
  </dataFields>
  <formats count="26"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74">
      <pivotArea dataOnly="0" labelOnly="1" fieldPosition="0">
        <references count="2">
          <reference field="0" count="1" selected="0">
            <x v="1"/>
          </reference>
          <reference field="1" count="5">
            <x v="5"/>
            <x v="6"/>
            <x v="7"/>
            <x v="8"/>
            <x v="9"/>
          </reference>
        </references>
      </pivotArea>
    </format>
    <format dxfId="73">
      <pivotArea dataOnly="0" labelOnly="1" fieldPosition="0">
        <references count="2">
          <reference field="0" count="1" selected="0">
            <x v="2"/>
          </reference>
          <reference field="1" count="5">
            <x v="10"/>
            <x v="11"/>
            <x v="12"/>
            <x v="13"/>
            <x v="14"/>
          </reference>
        </references>
      </pivotArea>
    </format>
    <format dxfId="72">
      <pivotArea dataOnly="0" labelOnly="1" fieldPosition="0">
        <references count="2">
          <reference field="0" count="1" selected="0">
            <x v="3"/>
          </reference>
          <reference field="1" count="5">
            <x v="15"/>
            <x v="16"/>
            <x v="17"/>
            <x v="18"/>
            <x v="19"/>
          </reference>
        </references>
      </pivotArea>
    </format>
    <format dxfId="71">
      <pivotArea dataOnly="0" labelOnly="1" fieldPosition="0">
        <references count="2">
          <reference field="0" count="1" selected="0">
            <x v="4"/>
          </reference>
          <reference field="1" count="5">
            <x v="20"/>
            <x v="21"/>
            <x v="22"/>
            <x v="23"/>
            <x v="24"/>
          </reference>
        </references>
      </pivotArea>
    </format>
    <format dxfId="70">
      <pivotArea dataOnly="0" labelOnly="1" fieldPosition="0">
        <references count="2">
          <reference field="0" count="1" selected="0">
            <x v="5"/>
          </reference>
          <reference field="1" count="5">
            <x v="25"/>
            <x v="26"/>
            <x v="27"/>
            <x v="28"/>
            <x v="29"/>
          </reference>
        </references>
      </pivotArea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" count="5">
            <x v="5"/>
            <x v="6"/>
            <x v="7"/>
            <x v="8"/>
            <x v="9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5">
            <x v="10"/>
            <x v="11"/>
            <x v="12"/>
            <x v="13"/>
            <x v="14"/>
          </reference>
        </references>
      </pivotArea>
    </format>
    <format dxfId="60">
      <pivotArea dataOnly="0" labelOnly="1" fieldPosition="0">
        <references count="2">
          <reference field="0" count="1" selected="0">
            <x v="3"/>
          </reference>
          <reference field="1" count="5">
            <x v="15"/>
            <x v="16"/>
            <x v="17"/>
            <x v="18"/>
            <x v="19"/>
          </reference>
        </references>
      </pivotArea>
    </format>
    <format dxfId="59">
      <pivotArea dataOnly="0" labelOnly="1" fieldPosition="0">
        <references count="2">
          <reference field="0" count="1" selected="0">
            <x v="4"/>
          </reference>
          <reference field="1" count="5">
            <x v="20"/>
            <x v="21"/>
            <x v="22"/>
            <x v="23"/>
            <x v="24"/>
          </reference>
        </references>
      </pivotArea>
    </format>
    <format dxfId="58">
      <pivotArea dataOnly="0" labelOnly="1" fieldPosition="0">
        <references count="2">
          <reference field="0" count="1" selected="0">
            <x v="5"/>
          </reference>
          <reference field="1" count="5">
            <x v="25"/>
            <x v="26"/>
            <x v="27"/>
            <x v="28"/>
            <x v="29"/>
          </reference>
        </references>
      </pivotArea>
    </format>
    <format dxfId="5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eam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8E6B8-E39C-491F-9612-9C46EE6C8A4B}" name="PivotTable6" cacheId="4" applyNumberFormats="0" applyBorderFormats="0" applyFontFormats="0" applyPatternFormats="0" applyAlignmentFormats="0" applyWidthHeightFormats="1" dataCaption="Değerler" tag="301f782c-6b87-4e5a-9ad0-ee54aeda23c1" updatedVersion="8" minRefreshableVersion="3" useAutoFormatting="1" itemPrintTitles="1" createdVersion="8" indent="0" outline="1" outlineData="1" multipleFieldFilters="0" chartFormat="6">
  <location ref="A17:C51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4">
        <item s="1"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2">
    <i>
      <x/>
    </i>
    <i t="grand">
      <x/>
    </i>
  </colItems>
  <dataFields count="1">
    <dataField name="Veri Sayısı: deal_stage" fld="3" subtotal="count" baseField="0" baseItem="0"/>
  </dataFields>
  <formats count="16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type="origin" dataOnly="0" labelOnly="1" outline="0" fieldPosition="0"/>
    </format>
    <format dxfId="17">
      <pivotArea field="2" type="button" dataOnly="0" labelOnly="1" outline="0" axis="axisCol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2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1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9">
      <pivotArea dataOnly="0" labelOnly="1" fieldPosition="0">
        <references count="1">
          <reference field="2" count="1">
            <x v="0"/>
          </reference>
        </references>
      </pivotArea>
    </format>
    <format dxfId="8">
      <pivotArea grandCol="1" outline="0" collapsedLevelsAreSubtotals="1" fieldPosition="0"/>
    </format>
    <format dxfId="7">
      <pivotArea type="topRight" dataOnly="0" labelOnly="1" outline="0" fieldPosition="0"/>
    </format>
    <format dxfId="6">
      <pivotArea dataOnly="0" labelOnly="1" grandCol="1" outline="0" fieldPosition="0"/>
    </format>
  </formats>
  <chartFormats count="5">
    <chartFormat chart="4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5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]"/>
        <x15:activeTabTopLevelEntity name="[product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3B703-DF10-455E-8F0E-DD1954E11730}" name="PivotTable5" cacheId="3" applyNumberFormats="0" applyBorderFormats="0" applyFontFormats="0" applyPatternFormats="0" applyAlignmentFormats="0" applyWidthHeightFormats="1" dataCaption="Değerler" tag="379ccaca-7445-47b6-b6f0-06c77d4cb443" updatedVersion="8" minRefreshableVersion="3" useAutoFormatting="1" itemPrintTitles="1" createdVersion="8" indent="0" outline="1" outlineData="1" multipleFieldFilters="0" chartFormat="3" rowHeaderCaption="Çeyrek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veri: close_value" fld="1" baseField="0" baseItem="0" numFmtId="164"/>
  </dataFields>
  <formats count="27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field="0" type="button" dataOnly="0" labelOnly="1" outline="0" axis="axisRow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DEDE1-A392-464C-9636-FD297F67C9DC}" name="PivotTable1" cacheId="1" applyNumberFormats="0" applyBorderFormats="0" applyFontFormats="0" applyPatternFormats="0" applyAlignmentFormats="0" applyWidthHeightFormats="1" dataCaption="Değerler" tag="11743aaa-3e2f-4d0e-8513-4b85566a2a4b" updatedVersion="8" minRefreshableVersion="3" useAutoFormatting="1" subtotalHiddenItems="1" itemPrintTitles="1" createdVersion="8" indent="0" outline="1" outlineData="1" multipleFieldFilters="0" chartFormat="3">
  <location ref="A3:C11" firstHeaderRow="0" firstDataRow="1" firstDataCol="1" rowPageCount="1" colPageCount="1"/>
  <pivotFields count="4">
    <pivotField axis="axisRow" allDrilled="1" subtotalTop="0" showAll="0" sortType="descending" defaultSubtotal="0" defaultAttributeDrillState="1">
      <items count="7">
        <item x="0"/>
        <item x="1"/>
        <item x="2"/>
        <item x="3"/>
        <item n="GTX Pro"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allDrilled="1" subtotalTop="0" showAll="0" dataSourceSort="1" defaultSubtotal="0" defaultAttributeDrillState="1">
      <items count="2">
        <item x="0"/>
        <item s="1"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6"/>
    </i>
    <i>
      <x v="3"/>
    </i>
    <i>
      <x v="1"/>
    </i>
    <i>
      <x v="4"/>
    </i>
    <i>
      <x v="2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17" name="[sales_pipeline].[deal_stage].&amp;[Won]" cap="Won"/>
  </pageFields>
  <dataFields count="2">
    <dataField name="Veri Sayısı: deal_stage" fld="2" subtotal="count" baseField="0" baseItem="0"/>
    <dataField fld="3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43DF7A7E-6A3D-4714-BB29-3CF94FCC0CFB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Çeyrek" xr10:uid="{CEADAAAB-6D8F-499A-86CF-BF4D37A38D21}" sourceName="[Calender].[Çeyrek]">
  <pivotTables>
    <pivotTable tabId="2" name="PivotTable6"/>
  </pivotTables>
  <data>
    <olap pivotCacheId="330877169">
      <levels count="2">
        <level uniqueName="[Calender].[Çeyrek].[(All)]" sourceCaption="(All)" count="0"/>
        <level uniqueName="[Calender].[Çeyrek].[Çeyrek]" sourceCaption="Çeyrek" count="5">
          <ranges>
            <range startItem="0">
              <i n="[Calender].[Çeyrek].&amp;[1]" c="1"/>
              <i n="[Calender].[Çeyrek].&amp;[2]" c="2"/>
              <i n="[Calender].[Çeyrek].&amp;[3]" c="3"/>
              <i n="[Calender].[Çeyrek].&amp;[4]" c="4"/>
              <i n="[Calender].[Çeyrek].&amp;" c="(boş)" nd="1"/>
            </range>
          </ranges>
        </level>
      </levels>
      <selections count="1">
        <selection n="[Calender].[Çeyre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Çeyrek" xr10:uid="{3B1894C0-94ED-45A3-9C5C-2B7B528EC789}" cache="Dilimleyici_Çeyrek" caption="Çeyrek" level="1" rowHeight="2603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864BC-7881-452E-B337-B559961FF395}" name="Tablo2" displayName="Tablo2" ref="A14:B21" totalsRowShown="0" headerRowDxfId="5" tableBorderDxfId="4">
  <autoFilter ref="A14:B21" xr:uid="{C7C864BC-7881-452E-B337-B559961FF395}"/>
  <tableColumns count="2">
    <tableColumn id="1" xr3:uid="{70646DC3-A5A5-4A95-A065-0FEC898E0D77}" name="Product" dataDxfId="3"/>
    <tableColumn id="2" xr3:uid="{6D721BA6-4142-43BE-9F5F-C20F36202D58}" name="Sales Price" dataDxfId="2">
      <calculatedColumnFormula>_xlfn.XLOOKUP('Win Rate'!A15,products__2[Product],products__2[Sales Price],"Yok",0,1)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CFF6A-C038-4D95-BDD4-EA7CF6E29306}" name="products__2" displayName="products__2" ref="A1:C8" tableType="queryTable" totalsRowShown="0">
  <autoFilter ref="A1:C8" xr:uid="{FBACFF6A-C038-4D95-BDD4-EA7CF6E29306}"/>
  <tableColumns count="3">
    <tableColumn id="1" xr3:uid="{DCD69BE9-9139-4A3D-AB43-F94292CFECC8}" uniqueName="1" name="Product" queryTableFieldId="1" dataDxfId="1"/>
    <tableColumn id="2" xr3:uid="{63DDEA48-D3AE-4195-9258-8D8F4F96D054}" uniqueName="2" name="series" queryTableFieldId="2" dataDxfId="0"/>
    <tableColumn id="3" xr3:uid="{0F88FC3A-94F8-4946-B6E0-94BF494CE5FA}" uniqueName="3" name="Sales 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30AE-5888-448D-B5F9-2B794D947D66}">
  <dimension ref="A1:B57"/>
  <sheetViews>
    <sheetView showGridLines="0" tabSelected="1" zoomScale="90" zoomScaleNormal="90" workbookViewId="0">
      <selection activeCell="B1" sqref="B1"/>
    </sheetView>
  </sheetViews>
  <sheetFormatPr defaultRowHeight="15.6" x14ac:dyDescent="0.3"/>
  <cols>
    <col min="1" max="1" width="20.6640625" customWidth="1"/>
    <col min="2" max="2" width="23.58203125" style="5" bestFit="1" customWidth="1"/>
  </cols>
  <sheetData>
    <row r="1" spans="1:2" x14ac:dyDescent="0.3">
      <c r="A1" s="7" t="s">
        <v>0</v>
      </c>
      <c r="B1" s="8" t="s">
        <v>38</v>
      </c>
    </row>
    <row r="2" spans="1:2" x14ac:dyDescent="0.3">
      <c r="A2" s="9" t="s">
        <v>1</v>
      </c>
      <c r="B2" s="10"/>
    </row>
    <row r="3" spans="1:2" x14ac:dyDescent="0.3">
      <c r="A3" s="11" t="s">
        <v>12</v>
      </c>
      <c r="B3" s="10">
        <v>421036</v>
      </c>
    </row>
    <row r="4" spans="1:2" x14ac:dyDescent="0.3">
      <c r="A4" s="11" t="s">
        <v>17</v>
      </c>
      <c r="B4" s="10">
        <v>197773</v>
      </c>
    </row>
    <row r="5" spans="1:2" x14ac:dyDescent="0.3">
      <c r="A5" s="11" t="s">
        <v>32</v>
      </c>
      <c r="B5" s="10">
        <v>230169</v>
      </c>
    </row>
    <row r="6" spans="1:2" x14ac:dyDescent="0.3">
      <c r="A6" s="11" t="s">
        <v>35</v>
      </c>
      <c r="B6" s="10">
        <v>123431</v>
      </c>
    </row>
    <row r="7" spans="1:2" x14ac:dyDescent="0.3">
      <c r="A7" s="11" t="s">
        <v>36</v>
      </c>
      <c r="B7" s="10">
        <v>157640</v>
      </c>
    </row>
    <row r="8" spans="1:2" x14ac:dyDescent="0.3">
      <c r="A8" s="9" t="s">
        <v>2</v>
      </c>
      <c r="B8" s="10"/>
    </row>
    <row r="9" spans="1:2" x14ac:dyDescent="0.3">
      <c r="A9" s="11" t="s">
        <v>16</v>
      </c>
      <c r="B9" s="10">
        <v>289195</v>
      </c>
    </row>
    <row r="10" spans="1:2" x14ac:dyDescent="0.3">
      <c r="A10" s="11" t="s">
        <v>19</v>
      </c>
      <c r="B10" s="10">
        <v>272111</v>
      </c>
    </row>
    <row r="11" spans="1:2" x14ac:dyDescent="0.3">
      <c r="A11" s="11" t="s">
        <v>25</v>
      </c>
      <c r="B11" s="10">
        <v>328792</v>
      </c>
    </row>
    <row r="12" spans="1:2" x14ac:dyDescent="0.3">
      <c r="A12" s="11" t="s">
        <v>31</v>
      </c>
      <c r="B12" s="10">
        <v>235403</v>
      </c>
    </row>
    <row r="13" spans="1:2" x14ac:dyDescent="0.3">
      <c r="A13" s="11" t="s">
        <v>34</v>
      </c>
      <c r="B13" s="10">
        <v>478396</v>
      </c>
    </row>
    <row r="14" spans="1:2" x14ac:dyDescent="0.3">
      <c r="A14" s="9" t="s">
        <v>3</v>
      </c>
      <c r="B14" s="10"/>
    </row>
    <row r="15" spans="1:2" x14ac:dyDescent="0.3">
      <c r="A15" s="11" t="s">
        <v>8</v>
      </c>
      <c r="B15" s="10">
        <v>275056</v>
      </c>
    </row>
    <row r="16" spans="1:2" x14ac:dyDescent="0.3">
      <c r="A16" s="11" t="s">
        <v>11</v>
      </c>
      <c r="B16" s="10">
        <v>229800</v>
      </c>
    </row>
    <row r="17" spans="1:2" x14ac:dyDescent="0.3">
      <c r="A17" s="11" t="s">
        <v>24</v>
      </c>
      <c r="B17" s="10">
        <v>194632</v>
      </c>
    </row>
    <row r="18" spans="1:2" x14ac:dyDescent="0.3">
      <c r="A18" s="11" t="s">
        <v>28</v>
      </c>
      <c r="B18" s="10">
        <v>207182</v>
      </c>
    </row>
    <row r="19" spans="1:2" x14ac:dyDescent="0.3">
      <c r="A19" s="11" t="s">
        <v>33</v>
      </c>
      <c r="B19" s="10">
        <v>187693</v>
      </c>
    </row>
    <row r="20" spans="1:2" x14ac:dyDescent="0.3">
      <c r="A20" s="9" t="s">
        <v>4</v>
      </c>
      <c r="B20" s="10"/>
    </row>
    <row r="21" spans="1:2" x14ac:dyDescent="0.3">
      <c r="A21" s="11" t="s">
        <v>14</v>
      </c>
      <c r="B21" s="10">
        <v>1153214</v>
      </c>
    </row>
    <row r="22" spans="1:2" x14ac:dyDescent="0.3">
      <c r="A22" s="11" t="s">
        <v>18</v>
      </c>
      <c r="B22" s="10">
        <v>345674</v>
      </c>
    </row>
    <row r="23" spans="1:2" x14ac:dyDescent="0.3">
      <c r="A23" s="11" t="s">
        <v>21</v>
      </c>
      <c r="B23" s="10">
        <v>284886</v>
      </c>
    </row>
    <row r="24" spans="1:2" x14ac:dyDescent="0.3">
      <c r="A24" s="11" t="s">
        <v>26</v>
      </c>
      <c r="B24" s="10">
        <v>291195</v>
      </c>
    </row>
    <row r="25" spans="1:2" x14ac:dyDescent="0.3">
      <c r="A25" s="11" t="s">
        <v>29</v>
      </c>
      <c r="B25" s="10">
        <v>176961</v>
      </c>
    </row>
    <row r="26" spans="1:2" x14ac:dyDescent="0.3">
      <c r="A26" s="9" t="s">
        <v>5</v>
      </c>
      <c r="B26" s="10"/>
    </row>
    <row r="27" spans="1:2" x14ac:dyDescent="0.3">
      <c r="A27" s="11" t="s">
        <v>9</v>
      </c>
      <c r="B27" s="10">
        <v>261631</v>
      </c>
    </row>
    <row r="28" spans="1:2" x14ac:dyDescent="0.3">
      <c r="A28" s="11" t="s">
        <v>10</v>
      </c>
      <c r="B28" s="10">
        <v>450489</v>
      </c>
    </row>
    <row r="29" spans="1:2" x14ac:dyDescent="0.3">
      <c r="A29" s="11" t="s">
        <v>13</v>
      </c>
      <c r="B29" s="10">
        <v>364229</v>
      </c>
    </row>
    <row r="30" spans="1:2" x14ac:dyDescent="0.3">
      <c r="A30" s="11" t="s">
        <v>15</v>
      </c>
      <c r="B30" s="10">
        <v>445860</v>
      </c>
    </row>
    <row r="31" spans="1:2" x14ac:dyDescent="0.3">
      <c r="A31" s="11" t="s">
        <v>30</v>
      </c>
      <c r="B31" s="10">
        <v>438336</v>
      </c>
    </row>
    <row r="32" spans="1:2" x14ac:dyDescent="0.3">
      <c r="A32" s="9" t="s">
        <v>6</v>
      </c>
      <c r="B32" s="10"/>
    </row>
    <row r="33" spans="1:2" x14ac:dyDescent="0.3">
      <c r="A33" s="11" t="s">
        <v>20</v>
      </c>
      <c r="B33" s="10">
        <v>413533</v>
      </c>
    </row>
    <row r="34" spans="1:2" x14ac:dyDescent="0.3">
      <c r="A34" s="11" t="s">
        <v>22</v>
      </c>
      <c r="B34" s="10">
        <v>316456</v>
      </c>
    </row>
    <row r="35" spans="1:2" x14ac:dyDescent="0.3">
      <c r="A35" s="11" t="s">
        <v>23</v>
      </c>
      <c r="B35" s="10">
        <v>454298</v>
      </c>
    </row>
    <row r="36" spans="1:2" x14ac:dyDescent="0.3">
      <c r="A36" s="11" t="s">
        <v>27</v>
      </c>
      <c r="B36" s="10">
        <v>350395</v>
      </c>
    </row>
    <row r="37" spans="1:2" x14ac:dyDescent="0.3">
      <c r="A37" s="11" t="s">
        <v>37</v>
      </c>
      <c r="B37" s="10">
        <v>430068</v>
      </c>
    </row>
    <row r="38" spans="1:2" ht="16.2" thickBot="1" x14ac:dyDescent="0.35">
      <c r="A38" s="12" t="s">
        <v>7</v>
      </c>
      <c r="B38" s="13">
        <v>10005534</v>
      </c>
    </row>
    <row r="39" spans="1:2" ht="16.2" thickBot="1" x14ac:dyDescent="0.35"/>
    <row r="40" spans="1:2" x14ac:dyDescent="0.3">
      <c r="A40" s="7" t="s">
        <v>0</v>
      </c>
      <c r="B40" s="8" t="s">
        <v>38</v>
      </c>
    </row>
    <row r="41" spans="1:2" x14ac:dyDescent="0.3">
      <c r="A41" s="9" t="s">
        <v>1</v>
      </c>
      <c r="B41" s="10">
        <v>1130049</v>
      </c>
    </row>
    <row r="42" spans="1:2" x14ac:dyDescent="0.3">
      <c r="A42" s="9" t="s">
        <v>2</v>
      </c>
      <c r="B42" s="10">
        <v>1603897</v>
      </c>
    </row>
    <row r="43" spans="1:2" x14ac:dyDescent="0.3">
      <c r="A43" s="9" t="s">
        <v>3</v>
      </c>
      <c r="B43" s="10">
        <v>1094363</v>
      </c>
    </row>
    <row r="44" spans="1:2" x14ac:dyDescent="0.3">
      <c r="A44" s="9" t="s">
        <v>4</v>
      </c>
      <c r="B44" s="10">
        <v>2251930</v>
      </c>
    </row>
    <row r="45" spans="1:2" x14ac:dyDescent="0.3">
      <c r="A45" s="9" t="s">
        <v>5</v>
      </c>
      <c r="B45" s="10">
        <v>1960545</v>
      </c>
    </row>
    <row r="46" spans="1:2" x14ac:dyDescent="0.3">
      <c r="A46" s="9" t="s">
        <v>6</v>
      </c>
      <c r="B46" s="10">
        <v>1964750</v>
      </c>
    </row>
    <row r="47" spans="1:2" ht="16.2" thickBot="1" x14ac:dyDescent="0.35">
      <c r="A47" s="12" t="s">
        <v>7</v>
      </c>
      <c r="B47" s="13">
        <v>10005534</v>
      </c>
    </row>
    <row r="48" spans="1:2" x14ac:dyDescent="0.3">
      <c r="B48" s="4"/>
    </row>
    <row r="49" spans="2:2" x14ac:dyDescent="0.3">
      <c r="B49" s="4"/>
    </row>
    <row r="50" spans="2:2" x14ac:dyDescent="0.3">
      <c r="B50" s="4"/>
    </row>
    <row r="51" spans="2:2" x14ac:dyDescent="0.3">
      <c r="B51" s="4"/>
    </row>
    <row r="52" spans="2:2" x14ac:dyDescent="0.3">
      <c r="B52" s="4"/>
    </row>
    <row r="53" spans="2:2" x14ac:dyDescent="0.3">
      <c r="B53" s="4"/>
    </row>
    <row r="54" spans="2:2" x14ac:dyDescent="0.3">
      <c r="B54" s="4"/>
    </row>
    <row r="55" spans="2:2" x14ac:dyDescent="0.3">
      <c r="B55" s="4"/>
    </row>
    <row r="56" spans="2:2" x14ac:dyDescent="0.3">
      <c r="B56" s="4"/>
    </row>
    <row r="57" spans="2:2" x14ac:dyDescent="0.3">
      <c r="B57" s="4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5C65-6662-4D5D-ABC7-502DD0423001}">
  <dimension ref="A1:C78"/>
  <sheetViews>
    <sheetView showGridLines="0" zoomScale="90" zoomScaleNormal="90" workbookViewId="0">
      <selection activeCell="I5" sqref="I5"/>
    </sheetView>
  </sheetViews>
  <sheetFormatPr defaultRowHeight="15.6" x14ac:dyDescent="0.3"/>
  <cols>
    <col min="1" max="1" width="20.25" bestFit="1" customWidth="1"/>
    <col min="2" max="2" width="16.33203125" style="3" bestFit="1" customWidth="1"/>
    <col min="3" max="3" width="12.83203125" hidden="1" customWidth="1"/>
    <col min="4" max="4" width="11.1640625" bestFit="1" customWidth="1"/>
    <col min="5" max="5" width="5.08203125" bestFit="1" customWidth="1"/>
    <col min="6" max="6" width="12.83203125" bestFit="1" customWidth="1"/>
    <col min="7" max="35" width="18.5" bestFit="1" customWidth="1"/>
    <col min="36" max="36" width="12.83203125" bestFit="1" customWidth="1"/>
  </cols>
  <sheetData>
    <row r="1" spans="1:2" ht="31.8" thickBot="1" x14ac:dyDescent="0.35">
      <c r="A1" s="14" t="s">
        <v>40</v>
      </c>
      <c r="B1" s="15" t="s">
        <v>38</v>
      </c>
    </row>
    <row r="2" spans="1:2" ht="16.2" thickBot="1" x14ac:dyDescent="0.35">
      <c r="A2" s="16">
        <v>1</v>
      </c>
      <c r="B2" s="17">
        <v>1134672</v>
      </c>
    </row>
    <row r="3" spans="1:2" ht="16.2" thickBot="1" x14ac:dyDescent="0.35">
      <c r="A3" s="16">
        <v>2</v>
      </c>
      <c r="B3" s="17">
        <v>3086111</v>
      </c>
    </row>
    <row r="4" spans="1:2" ht="16.2" thickBot="1" x14ac:dyDescent="0.35">
      <c r="A4" s="16">
        <v>3</v>
      </c>
      <c r="B4" s="17">
        <v>2982255</v>
      </c>
    </row>
    <row r="5" spans="1:2" ht="16.2" thickBot="1" x14ac:dyDescent="0.35">
      <c r="A5" s="16">
        <v>4</v>
      </c>
      <c r="B5" s="17">
        <v>2802496</v>
      </c>
    </row>
    <row r="6" spans="1:2" ht="16.2" thickBot="1" x14ac:dyDescent="0.35">
      <c r="A6" s="18" t="s">
        <v>7</v>
      </c>
      <c r="B6" s="19">
        <v>10005534</v>
      </c>
    </row>
    <row r="16" spans="1:2" ht="16.2" thickBot="1" x14ac:dyDescent="0.35"/>
    <row r="17" spans="1:3" x14ac:dyDescent="0.3">
      <c r="A17" s="20" t="s">
        <v>49</v>
      </c>
      <c r="B17" s="25" t="s">
        <v>39</v>
      </c>
      <c r="C17" s="29"/>
    </row>
    <row r="18" spans="1:3" x14ac:dyDescent="0.3">
      <c r="A18" s="21" t="s">
        <v>0</v>
      </c>
      <c r="B18" s="26" t="s">
        <v>48</v>
      </c>
      <c r="C18" s="30" t="s">
        <v>7</v>
      </c>
    </row>
    <row r="19" spans="1:3" x14ac:dyDescent="0.3">
      <c r="A19" s="22">
        <v>1</v>
      </c>
      <c r="B19" s="27"/>
      <c r="C19" s="31"/>
    </row>
    <row r="20" spans="1:3" x14ac:dyDescent="0.3">
      <c r="A20" s="23" t="s">
        <v>41</v>
      </c>
      <c r="B20" s="27">
        <v>1</v>
      </c>
      <c r="C20" s="31">
        <v>1</v>
      </c>
    </row>
    <row r="21" spans="1:3" x14ac:dyDescent="0.3">
      <c r="A21" s="23" t="s">
        <v>42</v>
      </c>
      <c r="B21" s="27">
        <v>126</v>
      </c>
      <c r="C21" s="31">
        <v>126</v>
      </c>
    </row>
    <row r="22" spans="1:3" x14ac:dyDescent="0.3">
      <c r="A22" s="23" t="s">
        <v>43</v>
      </c>
      <c r="B22" s="27">
        <v>82</v>
      </c>
      <c r="C22" s="31">
        <v>82</v>
      </c>
    </row>
    <row r="23" spans="1:3" x14ac:dyDescent="0.3">
      <c r="A23" s="23" t="s">
        <v>44</v>
      </c>
      <c r="B23" s="27">
        <v>51</v>
      </c>
      <c r="C23" s="31">
        <v>51</v>
      </c>
    </row>
    <row r="24" spans="1:3" x14ac:dyDescent="0.3">
      <c r="A24" s="23" t="s">
        <v>47</v>
      </c>
      <c r="B24" s="27">
        <v>80</v>
      </c>
      <c r="C24" s="31">
        <v>80</v>
      </c>
    </row>
    <row r="25" spans="1:3" x14ac:dyDescent="0.3">
      <c r="A25" s="23" t="s">
        <v>45</v>
      </c>
      <c r="B25" s="27">
        <v>84</v>
      </c>
      <c r="C25" s="31">
        <v>84</v>
      </c>
    </row>
    <row r="26" spans="1:3" x14ac:dyDescent="0.3">
      <c r="A26" s="23" t="s">
        <v>46</v>
      </c>
      <c r="B26" s="27">
        <v>107</v>
      </c>
      <c r="C26" s="31">
        <v>107</v>
      </c>
    </row>
    <row r="27" spans="1:3" x14ac:dyDescent="0.3">
      <c r="A27" s="22">
        <v>2</v>
      </c>
      <c r="B27" s="27"/>
      <c r="C27" s="31"/>
    </row>
    <row r="28" spans="1:3" x14ac:dyDescent="0.3">
      <c r="A28" s="23" t="s">
        <v>41</v>
      </c>
      <c r="B28" s="27">
        <v>7</v>
      </c>
      <c r="C28" s="31">
        <v>7</v>
      </c>
    </row>
    <row r="29" spans="1:3" x14ac:dyDescent="0.3">
      <c r="A29" s="23" t="s">
        <v>42</v>
      </c>
      <c r="B29" s="27">
        <v>276</v>
      </c>
      <c r="C29" s="31">
        <v>276</v>
      </c>
    </row>
    <row r="30" spans="1:3" x14ac:dyDescent="0.3">
      <c r="A30" s="23" t="s">
        <v>43</v>
      </c>
      <c r="B30" s="27">
        <v>181</v>
      </c>
      <c r="C30" s="31">
        <v>181</v>
      </c>
    </row>
    <row r="31" spans="1:3" x14ac:dyDescent="0.3">
      <c r="A31" s="23" t="s">
        <v>44</v>
      </c>
      <c r="B31" s="27">
        <v>142</v>
      </c>
      <c r="C31" s="31">
        <v>142</v>
      </c>
    </row>
    <row r="32" spans="1:3" x14ac:dyDescent="0.3">
      <c r="A32" s="23" t="s">
        <v>47</v>
      </c>
      <c r="B32" s="27">
        <v>223</v>
      </c>
      <c r="C32" s="31">
        <v>223</v>
      </c>
    </row>
    <row r="33" spans="1:3" x14ac:dyDescent="0.3">
      <c r="A33" s="23" t="s">
        <v>45</v>
      </c>
      <c r="B33" s="27">
        <v>201</v>
      </c>
      <c r="C33" s="31">
        <v>201</v>
      </c>
    </row>
    <row r="34" spans="1:3" x14ac:dyDescent="0.3">
      <c r="A34" s="23" t="s">
        <v>46</v>
      </c>
      <c r="B34" s="27">
        <v>224</v>
      </c>
      <c r="C34" s="31">
        <v>224</v>
      </c>
    </row>
    <row r="35" spans="1:3" x14ac:dyDescent="0.3">
      <c r="A35" s="22">
        <v>3</v>
      </c>
      <c r="B35" s="27"/>
      <c r="C35" s="31"/>
    </row>
    <row r="36" spans="1:3" x14ac:dyDescent="0.3">
      <c r="A36" s="23" t="s">
        <v>41</v>
      </c>
      <c r="B36" s="27">
        <v>4</v>
      </c>
      <c r="C36" s="31">
        <v>4</v>
      </c>
    </row>
    <row r="37" spans="1:3" x14ac:dyDescent="0.3">
      <c r="A37" s="23" t="s">
        <v>42</v>
      </c>
      <c r="B37" s="27">
        <v>256</v>
      </c>
      <c r="C37" s="31">
        <v>256</v>
      </c>
    </row>
    <row r="38" spans="1:3" x14ac:dyDescent="0.3">
      <c r="A38" s="23" t="s">
        <v>43</v>
      </c>
      <c r="B38" s="27">
        <v>212</v>
      </c>
      <c r="C38" s="31">
        <v>212</v>
      </c>
    </row>
    <row r="39" spans="1:3" x14ac:dyDescent="0.3">
      <c r="A39" s="23" t="s">
        <v>44</v>
      </c>
      <c r="B39" s="27">
        <v>143</v>
      </c>
      <c r="C39" s="31">
        <v>143</v>
      </c>
    </row>
    <row r="40" spans="1:3" x14ac:dyDescent="0.3">
      <c r="A40" s="23" t="s">
        <v>47</v>
      </c>
      <c r="B40" s="27">
        <v>226</v>
      </c>
      <c r="C40" s="31">
        <v>226</v>
      </c>
    </row>
    <row r="41" spans="1:3" x14ac:dyDescent="0.3">
      <c r="A41" s="23" t="s">
        <v>45</v>
      </c>
      <c r="B41" s="27">
        <v>186</v>
      </c>
      <c r="C41" s="31">
        <v>186</v>
      </c>
    </row>
    <row r="42" spans="1:3" x14ac:dyDescent="0.3">
      <c r="A42" s="23" t="s">
        <v>46</v>
      </c>
      <c r="B42" s="27">
        <v>230</v>
      </c>
      <c r="C42" s="31">
        <v>230</v>
      </c>
    </row>
    <row r="43" spans="1:3" x14ac:dyDescent="0.3">
      <c r="A43" s="22">
        <v>4</v>
      </c>
      <c r="B43" s="27"/>
      <c r="C43" s="31"/>
    </row>
    <row r="44" spans="1:3" x14ac:dyDescent="0.3">
      <c r="A44" s="23" t="s">
        <v>41</v>
      </c>
      <c r="B44" s="27">
        <v>3</v>
      </c>
      <c r="C44" s="31">
        <v>3</v>
      </c>
    </row>
    <row r="45" spans="1:3" x14ac:dyDescent="0.3">
      <c r="A45" s="23" t="s">
        <v>42</v>
      </c>
      <c r="B45" s="27">
        <v>257</v>
      </c>
      <c r="C45" s="31">
        <v>257</v>
      </c>
    </row>
    <row r="46" spans="1:3" x14ac:dyDescent="0.3">
      <c r="A46" s="23" t="s">
        <v>43</v>
      </c>
      <c r="B46" s="27">
        <v>178</v>
      </c>
      <c r="C46" s="31">
        <v>178</v>
      </c>
    </row>
    <row r="47" spans="1:3" x14ac:dyDescent="0.3">
      <c r="A47" s="23" t="s">
        <v>44</v>
      </c>
      <c r="B47" s="27">
        <v>143</v>
      </c>
      <c r="C47" s="31">
        <v>143</v>
      </c>
    </row>
    <row r="48" spans="1:3" x14ac:dyDescent="0.3">
      <c r="A48" s="23" t="s">
        <v>47</v>
      </c>
      <c r="B48" s="27">
        <v>200</v>
      </c>
      <c r="C48" s="31">
        <v>200</v>
      </c>
    </row>
    <row r="49" spans="1:3" x14ac:dyDescent="0.3">
      <c r="A49" s="23" t="s">
        <v>45</v>
      </c>
      <c r="B49" s="27">
        <v>183</v>
      </c>
      <c r="C49" s="31">
        <v>183</v>
      </c>
    </row>
    <row r="50" spans="1:3" x14ac:dyDescent="0.3">
      <c r="A50" s="23" t="s">
        <v>46</v>
      </c>
      <c r="B50" s="27">
        <v>232</v>
      </c>
      <c r="C50" s="31">
        <v>232</v>
      </c>
    </row>
    <row r="51" spans="1:3" ht="16.2" thickBot="1" x14ac:dyDescent="0.35">
      <c r="A51" s="24" t="s">
        <v>7</v>
      </c>
      <c r="B51" s="28">
        <v>4238</v>
      </c>
      <c r="C51" s="32">
        <v>4238</v>
      </c>
    </row>
    <row r="52" spans="1:3" x14ac:dyDescent="0.3">
      <c r="B52"/>
    </row>
    <row r="53" spans="1:3" x14ac:dyDescent="0.3">
      <c r="B53"/>
    </row>
    <row r="54" spans="1:3" x14ac:dyDescent="0.3">
      <c r="B54"/>
    </row>
    <row r="55" spans="1:3" x14ac:dyDescent="0.3">
      <c r="B55"/>
    </row>
    <row r="56" spans="1:3" x14ac:dyDescent="0.3">
      <c r="B56"/>
    </row>
    <row r="57" spans="1:3" x14ac:dyDescent="0.3">
      <c r="B57"/>
    </row>
    <row r="58" spans="1:3" x14ac:dyDescent="0.3">
      <c r="B58"/>
    </row>
    <row r="59" spans="1:3" x14ac:dyDescent="0.3">
      <c r="B59"/>
    </row>
    <row r="60" spans="1:3" x14ac:dyDescent="0.3">
      <c r="B60"/>
    </row>
    <row r="61" spans="1:3" x14ac:dyDescent="0.3">
      <c r="B61"/>
    </row>
    <row r="62" spans="1:3" x14ac:dyDescent="0.3">
      <c r="B62"/>
    </row>
    <row r="63" spans="1:3" x14ac:dyDescent="0.3">
      <c r="B63"/>
    </row>
    <row r="64" spans="1:3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75A4-7D94-400B-AD30-01E488A4ED3E}">
  <dimension ref="A1:C21"/>
  <sheetViews>
    <sheetView showGridLines="0" zoomScaleNormal="100" workbookViewId="0">
      <selection activeCell="C15" sqref="C15"/>
    </sheetView>
  </sheetViews>
  <sheetFormatPr defaultRowHeight="15.6" x14ac:dyDescent="0.3"/>
  <cols>
    <col min="1" max="2" width="22.5" bestFit="1" customWidth="1"/>
    <col min="3" max="3" width="16.33203125" customWidth="1"/>
    <col min="4" max="34" width="3.25" bestFit="1" customWidth="1"/>
    <col min="35" max="362" width="4.4140625" bestFit="1" customWidth="1"/>
    <col min="363" max="2038" width="5.58203125" bestFit="1" customWidth="1"/>
    <col min="2039" max="2053" width="6.75" bestFit="1" customWidth="1"/>
    <col min="2054" max="2054" width="12.83203125" bestFit="1" customWidth="1"/>
  </cols>
  <sheetData>
    <row r="1" spans="1:3" x14ac:dyDescent="0.3">
      <c r="A1" s="1" t="s">
        <v>50</v>
      </c>
      <c r="B1" t="s" vm="1">
        <v>48</v>
      </c>
    </row>
    <row r="3" spans="1:3" x14ac:dyDescent="0.3">
      <c r="A3" s="1" t="s">
        <v>0</v>
      </c>
      <c r="B3" t="s">
        <v>49</v>
      </c>
      <c r="C3" t="s">
        <v>51</v>
      </c>
    </row>
    <row r="4" spans="1:3" x14ac:dyDescent="0.3">
      <c r="A4" s="2" t="s">
        <v>46</v>
      </c>
      <c r="B4">
        <v>793</v>
      </c>
      <c r="C4" s="6">
        <v>0.64840556009811934</v>
      </c>
    </row>
    <row r="5" spans="1:3" x14ac:dyDescent="0.3">
      <c r="A5" s="2" t="s">
        <v>44</v>
      </c>
      <c r="B5">
        <v>479</v>
      </c>
      <c r="C5" s="6">
        <v>0.64295302013422817</v>
      </c>
    </row>
    <row r="6" spans="1:3" x14ac:dyDescent="0.3">
      <c r="A6" s="2" t="s">
        <v>42</v>
      </c>
      <c r="B6">
        <v>915</v>
      </c>
      <c r="C6" s="6">
        <v>0.63718662952646243</v>
      </c>
    </row>
    <row r="7" spans="1:3" x14ac:dyDescent="0.3">
      <c r="A7" s="2" t="s">
        <v>54</v>
      </c>
      <c r="B7">
        <v>729</v>
      </c>
      <c r="C7" s="6">
        <v>0.63557105492589361</v>
      </c>
    </row>
    <row r="8" spans="1:3" x14ac:dyDescent="0.3">
      <c r="A8" s="2" t="s">
        <v>43</v>
      </c>
      <c r="B8">
        <v>653</v>
      </c>
      <c r="C8" s="6">
        <v>0.62131303520456704</v>
      </c>
    </row>
    <row r="9" spans="1:3" x14ac:dyDescent="0.3">
      <c r="A9" s="2" t="s">
        <v>45</v>
      </c>
      <c r="B9">
        <v>654</v>
      </c>
      <c r="C9" s="6">
        <v>0.60332103321033215</v>
      </c>
    </row>
    <row r="10" spans="1:3" x14ac:dyDescent="0.3">
      <c r="A10" s="2" t="s">
        <v>41</v>
      </c>
      <c r="B10">
        <v>15</v>
      </c>
      <c r="C10" s="6">
        <v>0.6</v>
      </c>
    </row>
    <row r="11" spans="1:3" x14ac:dyDescent="0.3">
      <c r="A11" s="2" t="s">
        <v>7</v>
      </c>
      <c r="B11">
        <v>4238</v>
      </c>
      <c r="C11" s="6">
        <v>0.63150052153181346</v>
      </c>
    </row>
    <row r="14" spans="1:3" x14ac:dyDescent="0.3">
      <c r="A14" s="33" t="s">
        <v>57</v>
      </c>
      <c r="B14" s="34" t="s">
        <v>58</v>
      </c>
    </row>
    <row r="15" spans="1:3" x14ac:dyDescent="0.3">
      <c r="A15" s="33" t="s">
        <v>46</v>
      </c>
      <c r="B15" s="34">
        <f>_xlfn.XLOOKUP('Win Rate'!A15,products__2[Product],products__2[Sales Price],"Yok",0,1)</f>
        <v>55</v>
      </c>
    </row>
    <row r="16" spans="1:3" x14ac:dyDescent="0.3">
      <c r="A16" s="33" t="s">
        <v>44</v>
      </c>
      <c r="B16" s="34">
        <f>_xlfn.XLOOKUP('Win Rate'!A16,products__2[Product],products__2[Sales Price],"Yok",0,1)</f>
        <v>5482</v>
      </c>
    </row>
    <row r="17" spans="1:2" x14ac:dyDescent="0.3">
      <c r="A17" s="33" t="s">
        <v>42</v>
      </c>
      <c r="B17" s="34">
        <f>_xlfn.XLOOKUP('Win Rate'!A17,products__2[Product],products__2[Sales Price],"Yok",0,1)</f>
        <v>550</v>
      </c>
    </row>
    <row r="18" spans="1:2" x14ac:dyDescent="0.3">
      <c r="A18" s="33" t="s">
        <v>54</v>
      </c>
      <c r="B18" s="34">
        <f>_xlfn.XLOOKUP('Win Rate'!A18,products__2[Product],products__2[Sales Price],"Yok",0,1)</f>
        <v>4821</v>
      </c>
    </row>
    <row r="19" spans="1:2" x14ac:dyDescent="0.3">
      <c r="A19" s="33" t="s">
        <v>43</v>
      </c>
      <c r="B19" s="34">
        <f>_xlfn.XLOOKUP('Win Rate'!A19,products__2[Product],products__2[Sales Price],"Yok",0,1)</f>
        <v>1096</v>
      </c>
    </row>
    <row r="20" spans="1:2" x14ac:dyDescent="0.3">
      <c r="A20" s="33" t="s">
        <v>45</v>
      </c>
      <c r="B20" s="34">
        <f>_xlfn.XLOOKUP('Win Rate'!A20,products__2[Product],products__2[Sales Price],"Yok",0,1)</f>
        <v>3393</v>
      </c>
    </row>
    <row r="21" spans="1:2" x14ac:dyDescent="0.3">
      <c r="A21" s="33" t="s">
        <v>41</v>
      </c>
      <c r="B21" s="34">
        <f>_xlfn.XLOOKUP('Win Rate'!A21,products__2[Product],products__2[Sales Price],"Yok",0,1)</f>
        <v>26768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A527-BA15-436E-B1B7-7ED97FB97E85}">
  <dimension ref="A1:C8"/>
  <sheetViews>
    <sheetView showGridLines="0" workbookViewId="0">
      <selection activeCell="E5" sqref="E5"/>
    </sheetView>
  </sheetViews>
  <sheetFormatPr defaultRowHeight="15.6" x14ac:dyDescent="0.3"/>
  <cols>
    <col min="1" max="1" width="12.1640625" bestFit="1" customWidth="1"/>
    <col min="2" max="2" width="7.5" bestFit="1" customWidth="1"/>
    <col min="3" max="3" width="12.25" bestFit="1" customWidth="1"/>
  </cols>
  <sheetData>
    <row r="1" spans="1:3" x14ac:dyDescent="0.3">
      <c r="A1" t="s">
        <v>57</v>
      </c>
      <c r="B1" t="s">
        <v>52</v>
      </c>
      <c r="C1" t="s">
        <v>58</v>
      </c>
    </row>
    <row r="2" spans="1:3" x14ac:dyDescent="0.3">
      <c r="A2" t="s">
        <v>42</v>
      </c>
      <c r="B2" t="s">
        <v>53</v>
      </c>
      <c r="C2">
        <v>550</v>
      </c>
    </row>
    <row r="3" spans="1:3" x14ac:dyDescent="0.3">
      <c r="A3" t="s">
        <v>54</v>
      </c>
      <c r="B3" t="s">
        <v>53</v>
      </c>
      <c r="C3">
        <v>4821</v>
      </c>
    </row>
    <row r="4" spans="1:3" x14ac:dyDescent="0.3">
      <c r="A4" t="s">
        <v>46</v>
      </c>
      <c r="B4" t="s">
        <v>55</v>
      </c>
      <c r="C4">
        <v>55</v>
      </c>
    </row>
    <row r="5" spans="1:3" x14ac:dyDescent="0.3">
      <c r="A5" t="s">
        <v>45</v>
      </c>
      <c r="B5" t="s">
        <v>55</v>
      </c>
      <c r="C5">
        <v>3393</v>
      </c>
    </row>
    <row r="6" spans="1:3" x14ac:dyDescent="0.3">
      <c r="A6" t="s">
        <v>44</v>
      </c>
      <c r="B6" t="s">
        <v>53</v>
      </c>
      <c r="C6">
        <v>5482</v>
      </c>
    </row>
    <row r="7" spans="1:3" x14ac:dyDescent="0.3">
      <c r="A7" t="s">
        <v>43</v>
      </c>
      <c r="B7" t="s">
        <v>53</v>
      </c>
      <c r="C7">
        <v>1096</v>
      </c>
    </row>
    <row r="8" spans="1:3" x14ac:dyDescent="0.3">
      <c r="A8" t="s">
        <v>41</v>
      </c>
      <c r="B8" t="s">
        <v>56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��1s11s1_11s11s11s11s1_11s11s11s11s11s11s11s11s11s11s11s11s11s11s1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��_1_1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��_1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A5865310-9C5B-4D12-9462-768327FEE5B9}">
  <ds:schemaRefs/>
</ds:datastoreItem>
</file>

<file path=customXml/itemProps2.xml><?xml version="1.0" encoding="utf-8"?>
<ds:datastoreItem xmlns:ds="http://schemas.openxmlformats.org/officeDocument/2006/customXml" ds:itemID="{968CB5A1-97C2-4BB8-B008-87668348911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67D96D7-4CFB-40EB-94C4-F780CFD5A5EA}">
  <ds:schemaRefs/>
</ds:datastoreItem>
</file>

<file path=customXml/itemProps4.xml><?xml version="1.0" encoding="utf-8"?>
<ds:datastoreItem xmlns:ds="http://schemas.openxmlformats.org/officeDocument/2006/customXml" ds:itemID="{FCF79836-61DD-4415-8141-183E4465738B}">
  <ds:schemaRefs/>
</ds:datastoreItem>
</file>

<file path=customXml/itemProps5.xml><?xml version="1.0" encoding="utf-8"?>
<ds:datastoreItem xmlns:ds="http://schemas.openxmlformats.org/officeDocument/2006/customXml" ds:itemID="{4B75759A-8BA3-4394-B561-94D19B5DE9A6}">
  <ds:schemaRefs/>
</ds:datastoreItem>
</file>

<file path=customXml/itemProps6.xml><?xml version="1.0" encoding="utf-8"?>
<ds:datastoreItem xmlns:ds="http://schemas.openxmlformats.org/officeDocument/2006/customXml" ds:itemID="{866FD83E-D148-4C11-B4A0-5CC2C2AF20C3}">
  <ds:schemaRefs/>
</ds:datastoreItem>
</file>

<file path=customXml/itemProps7.xml><?xml version="1.0" encoding="utf-8"?>
<ds:datastoreItem xmlns:ds="http://schemas.openxmlformats.org/officeDocument/2006/customXml" ds:itemID="{5F5BB58F-9CBD-48DC-BBD8-3140E8F266EB}">
  <ds:schemaRefs/>
</ds:datastoreItem>
</file>

<file path=customXml/itemProps8.xml><?xml version="1.0" encoding="utf-8"?>
<ds:datastoreItem xmlns:ds="http://schemas.openxmlformats.org/officeDocument/2006/customXml" ds:itemID="{1F179761-2EB8-4446-854A-0D7998A30A75}">
  <ds:schemaRefs/>
</ds:datastoreItem>
</file>

<file path=customXml/itemProps9.xml><?xml version="1.0" encoding="utf-8"?>
<ds:datastoreItem xmlns:ds="http://schemas.openxmlformats.org/officeDocument/2006/customXml" ds:itemID="{6ED3731C-11CB-433E-AB9B-B74362AB4781}">
  <ds:schemaRefs/>
</ds:datastoreItem>
</file>

<file path=customXml/itemProps10.xml><?xml version="1.0" encoding="utf-8"?>
<ds:datastoreItem xmlns:ds="http://schemas.openxmlformats.org/officeDocument/2006/customXml" ds:itemID="{78E47CA0-292E-4629-AE2E-A5DE9D816635}">
  <ds:schemaRefs/>
</ds:datastoreItem>
</file>

<file path=customXml/itemProps11.xml><?xml version="1.0" encoding="utf-8"?>
<ds:datastoreItem xmlns:ds="http://schemas.openxmlformats.org/officeDocument/2006/customXml" ds:itemID="{D4731991-4561-4DC4-894C-E4FD42334212}">
  <ds:schemaRefs/>
</ds:datastoreItem>
</file>

<file path=customXml/itemProps12.xml><?xml version="1.0" encoding="utf-8"?>
<ds:datastoreItem xmlns:ds="http://schemas.openxmlformats.org/officeDocument/2006/customXml" ds:itemID="{6641359A-FE06-4403-98BA-94A6D491EA11}">
  <ds:schemaRefs/>
</ds:datastoreItem>
</file>

<file path=customXml/itemProps13.xml><?xml version="1.0" encoding="utf-8"?>
<ds:datastoreItem xmlns:ds="http://schemas.openxmlformats.org/officeDocument/2006/customXml" ds:itemID="{D7B27654-23B1-497A-A50B-C864673C296C}">
  <ds:schemaRefs/>
</ds:datastoreItem>
</file>

<file path=customXml/itemProps14.xml><?xml version="1.0" encoding="utf-8"?>
<ds:datastoreItem xmlns:ds="http://schemas.openxmlformats.org/officeDocument/2006/customXml" ds:itemID="{6BB2ADAE-43AE-4F98-804A-6FF30CE2BE2A}">
  <ds:schemaRefs/>
</ds:datastoreItem>
</file>

<file path=customXml/itemProps15.xml><?xml version="1.0" encoding="utf-8"?>
<ds:datastoreItem xmlns:ds="http://schemas.openxmlformats.org/officeDocument/2006/customXml" ds:itemID="{FA4A3D4B-EB23-4F72-8F5E-EF8D687739ED}">
  <ds:schemaRefs/>
</ds:datastoreItem>
</file>

<file path=customXml/itemProps16.xml><?xml version="1.0" encoding="utf-8"?>
<ds:datastoreItem xmlns:ds="http://schemas.openxmlformats.org/officeDocument/2006/customXml" ds:itemID="{CD9D0B55-D27B-41C4-A81B-16BEF694B9EA}">
  <ds:schemaRefs/>
</ds:datastoreItem>
</file>

<file path=customXml/itemProps17.xml><?xml version="1.0" encoding="utf-8"?>
<ds:datastoreItem xmlns:ds="http://schemas.openxmlformats.org/officeDocument/2006/customXml" ds:itemID="{91B5F077-12FD-437D-97E1-6882445E2CB1}">
  <ds:schemaRefs/>
</ds:datastoreItem>
</file>

<file path=customXml/itemProps18.xml><?xml version="1.0" encoding="utf-8"?>
<ds:datastoreItem xmlns:ds="http://schemas.openxmlformats.org/officeDocument/2006/customXml" ds:itemID="{604DAB17-135F-4495-993A-788C24690BFC}">
  <ds:schemaRefs/>
</ds:datastoreItem>
</file>

<file path=customXml/itemProps19.xml><?xml version="1.0" encoding="utf-8"?>
<ds:datastoreItem xmlns:ds="http://schemas.openxmlformats.org/officeDocument/2006/customXml" ds:itemID="{41C85B46-2699-46F0-B942-27653687B9AE}">
  <ds:schemaRefs/>
</ds:datastoreItem>
</file>

<file path=customXml/itemProps20.xml><?xml version="1.0" encoding="utf-8"?>
<ds:datastoreItem xmlns:ds="http://schemas.openxmlformats.org/officeDocument/2006/customXml" ds:itemID="{29813916-9CF0-41DC-83ED-A9C8E7136B3B}">
  <ds:schemaRefs/>
</ds:datastoreItem>
</file>

<file path=customXml/itemProps21.xml><?xml version="1.0" encoding="utf-8"?>
<ds:datastoreItem xmlns:ds="http://schemas.openxmlformats.org/officeDocument/2006/customXml" ds:itemID="{AB74DD40-48EE-432E-9B3B-5E57869460E3}">
  <ds:schemaRefs/>
</ds:datastoreItem>
</file>

<file path=customXml/itemProps22.xml><?xml version="1.0" encoding="utf-8"?>
<ds:datastoreItem xmlns:ds="http://schemas.openxmlformats.org/officeDocument/2006/customXml" ds:itemID="{1611EA38-74F6-40FE-9CCC-BF19A8025612}">
  <ds:schemaRefs/>
</ds:datastoreItem>
</file>

<file path=customXml/itemProps23.xml><?xml version="1.0" encoding="utf-8"?>
<ds:datastoreItem xmlns:ds="http://schemas.openxmlformats.org/officeDocument/2006/customXml" ds:itemID="{57129D03-52CD-4959-91B8-ABE82A38BE8B}">
  <ds:schemaRefs/>
</ds:datastoreItem>
</file>

<file path=customXml/itemProps24.xml><?xml version="1.0" encoding="utf-8"?>
<ds:datastoreItem xmlns:ds="http://schemas.openxmlformats.org/officeDocument/2006/customXml" ds:itemID="{EE382DDD-2800-43EC-89B4-291CEB3A6E90}">
  <ds:schemaRefs/>
</ds:datastoreItem>
</file>

<file path=customXml/itemProps25.xml><?xml version="1.0" encoding="utf-8"?>
<ds:datastoreItem xmlns:ds="http://schemas.openxmlformats.org/officeDocument/2006/customXml" ds:itemID="{25CFF18B-B84E-4718-BC4B-5234F6A48A0D}">
  <ds:schemaRefs/>
</ds:datastoreItem>
</file>

<file path=customXml/itemProps26.xml><?xml version="1.0" encoding="utf-8"?>
<ds:datastoreItem xmlns:ds="http://schemas.openxmlformats.org/officeDocument/2006/customXml" ds:itemID="{A86B9E4B-ECB5-45AD-9358-3B3006144F35}">
  <ds:schemaRefs/>
</ds:datastoreItem>
</file>

<file path=customXml/itemProps27.xml><?xml version="1.0" encoding="utf-8"?>
<ds:datastoreItem xmlns:ds="http://schemas.openxmlformats.org/officeDocument/2006/customXml" ds:itemID="{D0CFDD03-0FC4-42C4-A1C9-2BB5B457B0D7}">
  <ds:schemaRefs/>
</ds:datastoreItem>
</file>

<file path=customXml/itemProps28.xml><?xml version="1.0" encoding="utf-8"?>
<ds:datastoreItem xmlns:ds="http://schemas.openxmlformats.org/officeDocument/2006/customXml" ds:itemID="{0C08B565-D350-41AF-958E-4577B0183CBD}">
  <ds:schemaRefs/>
</ds:datastoreItem>
</file>

<file path=customXml/itemProps29.xml><?xml version="1.0" encoding="utf-8"?>
<ds:datastoreItem xmlns:ds="http://schemas.openxmlformats.org/officeDocument/2006/customXml" ds:itemID="{F7F68715-F1DF-4852-9F27-591C26EF19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Team</vt:lpstr>
      <vt:lpstr>Quarter-Product</vt:lpstr>
      <vt:lpstr>Win Rate</vt:lpstr>
      <vt:lpstr>products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FEYZA NUR BİLİR</dc:creator>
  <cp:lastModifiedBy>FEYZA NUR BİLİR</cp:lastModifiedBy>
  <dcterms:created xsi:type="dcterms:W3CDTF">2026-02-04T15:41:44Z</dcterms:created>
  <dcterms:modified xsi:type="dcterms:W3CDTF">2026-02-06T20:14:38Z</dcterms:modified>
</cp:coreProperties>
</file>